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Inputs" sheetId="3" state="visible" r:id="rId5"/>
    <sheet name="Grid" sheetId="4" state="visible" r:id="rId6"/>
    <sheet name="Hub" sheetId="5" state="visible" r:id="rId7"/>
    <sheet name="Matrix" sheetId="6" state="visible" r:id="rId8"/>
    <sheet name="UnitEconomics" sheetId="7" state="visible" r:id="rId9"/>
    <sheet name="Levers" sheetId="8" state="visible" r:id="rId10"/>
    <sheet name="Screen" sheetId="9" state="visible" r:id="rId11"/>
    <sheet name="Sources" sheetId="10" state="visible" r:id="rId12"/>
    <sheet name="Checks" sheetId="11" state="visible" r:id="rId13"/>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C37" authorId="0">
      <text>
        <r>
          <rPr>
            <sz val="10"/>
            <rFont val="Arial"/>
            <family val="2"/>
          </rPr>
          <t xml:space="preserve">S7: Kenya DC market projected at $805m by 2031. Likely a broader definition than infrastructure fees (includes cloud/services).</t>
        </r>
      </text>
    </comment>
    <comment ref="D37" authorId="0">
      <text>
        <r>
          <rPr>
            <sz val="10"/>
            <rFont val="Arial"/>
            <family val="2"/>
          </rPr>
          <t xml:space="preserve">S7: Kenya DC market projected at $805m by 2031. Likely a broader definition than infrastructure fees (includes cloud/services).</t>
        </r>
      </text>
    </comment>
    <comment ref="E37" authorId="0">
      <text>
        <r>
          <rPr>
            <sz val="10"/>
            <rFont val="Arial"/>
            <family val="2"/>
          </rPr>
          <t xml:space="preserve">S7: Kenya DC market projected at $805m by 2031. Likely a broader definition than infrastructure fees (includes cloud/services).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[A] Analyst assumption: ramp to c.75% of 44 MW by year 5 (matches Inputs 'util').</t>
        </r>
      </text>
    </comment>
  </commentList>
</comments>
</file>

<file path=xl/sharedStrings.xml><?xml version="1.0" encoding="utf-8"?>
<sst xmlns="http://schemas.openxmlformats.org/spreadsheetml/2006/main" count="972" uniqueCount="609">
  <si>
    <t xml:space="preserve">Kenya as East Africa's low-carbon industry hub - strategy model</t>
  </si>
  <si>
    <t xml:space="preserve">Question: Should Kenya position itself as East Africa's hub for energy-intensive, low-carbon industry (data centres first), and what would it take?</t>
  </si>
  <si>
    <t xml:space="preserve">How to read this workbook</t>
  </si>
  <si>
    <t xml:space="preserve">  Summary         Headline outputs, all linked. Start here.</t>
  </si>
  <si>
    <t xml:space="preserve">  Inputs          Every assumption, tagged [S] sourced or [A] analyst assumption. Change blue cells; everything recalculates.</t>
  </si>
  <si>
    <t xml:space="preserve">  Grid            Peak demand versus firm, evening-capable supply, 2026-2032, in three supply cases (Stress / Base / Favourable).</t>
  </si>
  <si>
    <t xml:space="preserve">  Hub             Data-centre demand in three hub cases (Status quo / Targeted / Ambitious) and the size of the prize in 2030.</t>
  </si>
  <si>
    <t xml:space="preserve">  Matrix          Reserve margin, firm-MW gap and connectable load for every supply x hub combination.</t>
  </si>
  <si>
    <t xml:space="preserve">  UnitEconomics   Tenant cost per kW-month and an illustrative 44 MW campus (NPV, IRR, break-even fee, sensitivities).</t>
  </si>
  <si>
    <t xml:space="preserve">  Levers          Five levers sized against the 2030 firm-capacity gap, with indicative annual cost.</t>
  </si>
  <si>
    <t xml:space="preserve">  Screen          Judgement-based screen of which industries fit Kenya's evening-constrained grid.</t>
  </si>
  <si>
    <t xml:space="preserve">  Sources         Source register (S1-S27) and the conflicts between sources and how each is resolved.</t>
  </si>
  <si>
    <t xml:space="preserve">  Checks          Integrity checks; all should read TRUE.</t>
  </si>
  <si>
    <t xml:space="preserve">Colour code: blue = input; black = formula; green = link from another sheet; yellow fill = key lever.</t>
  </si>
  <si>
    <t xml:space="preserve">Limits you should know about</t>
  </si>
  <si>
    <t xml:space="preserve">  1. Several inputs come from press reports quoting Kenya Power / EPRA briefings, not primary datasets. Confirm against EPRA statistics before publishing.</t>
  </si>
  <si>
    <t xml:space="preserve">  2. Colocation pricing, utilisation, opex and the discount rate are analyst assumptions because no public Kenyan price data was available.</t>
  </si>
  <si>
    <t xml:space="preserve">  3. 'Firm' means available at the 6-10pm peak. Solar is therefore counted at 0%; storage at its rated MW for a 4-hour peak.</t>
  </si>
  <si>
    <t xml:space="preserve">  4. A negative reserve margin means unserved peak unless emergency capacity is procured; it sizes the response, it does not forecast blackouts.</t>
  </si>
  <si>
    <t xml:space="preserve">  5. The campus case is pre-tax and unlevered and meant to show what price or cost of capital a campus needs, not to value a specific project.</t>
  </si>
  <si>
    <t xml:space="preserve">Summary of results - Kenya as East Africa's low-carbon industry hub</t>
  </si>
  <si>
    <t xml:space="preserve">All figures are live links to the calculation sheets. Scenario definitions are on the Inputs sheet.</t>
  </si>
  <si>
    <t xml:space="preserve">1. Grid headroom (supply cases)</t>
  </si>
  <si>
    <t xml:space="preserve">Stress</t>
  </si>
  <si>
    <t xml:space="preserve">Base</t>
  </si>
  <si>
    <t xml:space="preserve">Favourable</t>
  </si>
  <si>
    <t xml:space="preserve">Peak demand, Jun 2026 (MW)</t>
  </si>
  <si>
    <t xml:space="preserve">Firm available capacity, Jun 2026 (MW)</t>
  </si>
  <si>
    <t xml:space="preserve">Spare MW, Jun 2026</t>
  </si>
  <si>
    <t xml:space="preserve">Base: the whole national spare margin</t>
  </si>
  <si>
    <t xml:space="preserve">Reserve margin 2027 (no hub)</t>
  </si>
  <si>
    <t xml:space="preserve">Reserve margin 2028 (no hub)</t>
  </si>
  <si>
    <t xml:space="preserve">Reserve margin 2030 (no hub)</t>
  </si>
  <si>
    <t xml:space="preserve">Reserve margin 2032 (no hub)</t>
  </si>
  <si>
    <t xml:space="preserve">New firm MW needed per year just to hold the margin, 2030</t>
  </si>
  <si>
    <t xml:space="preserve">2. The prize (hub cases, 2030)</t>
  </si>
  <si>
    <t xml:space="preserve">Status quo</t>
  </si>
  <si>
    <t xml:space="preserve">Targeted hub</t>
  </si>
  <si>
    <t xml:space="preserve">Ambitious hub</t>
  </si>
  <si>
    <t xml:space="preserve">Kenya data-centre IT capacity (MW)</t>
  </si>
  <si>
    <t xml:space="preserve">Share of Africa capacity</t>
  </si>
  <si>
    <t xml:space="preserve">Infrastructure-fee revenue pool ($m/yr)</t>
  </si>
  <si>
    <t xml:space="preserve">Build investment 2026-2030 ($bn)</t>
  </si>
  <si>
    <t xml:space="preserve">Operational jobs</t>
  </si>
  <si>
    <t xml:space="preserve">Hub load added to grid (MW)</t>
  </si>
  <si>
    <t xml:space="preserve">Hub-attributable firming cost ($m/yr)</t>
  </si>
  <si>
    <t xml:space="preserve">Firming cost as % of fee revenue</t>
  </si>
  <si>
    <t xml:space="preserve">Energy drawn by the data-centre estate (TWh/yr)</t>
  </si>
  <si>
    <t xml:space="preserve">3. Reserve margin in 2030 (rows: supply case; columns: hub case)</t>
  </si>
  <si>
    <t xml:space="preserve">Stress supply</t>
  </si>
  <si>
    <t xml:space="preserve">Base supply</t>
  </si>
  <si>
    <t xml:space="preserve">Favourable supply</t>
  </si>
  <si>
    <t xml:space="preserve">4. Firm MW needed in 2030 to reach the minimum reserve margin</t>
  </si>
  <si>
    <t xml:space="preserve">5. Firm MW needed in 2030 to reach the target reserve margin</t>
  </si>
  <si>
    <t xml:space="preserve">6. Connectable IT MW at the minimum reserve margin</t>
  </si>
  <si>
    <t xml:space="preserve">2027</t>
  </si>
  <si>
    <t xml:space="preserve">2028</t>
  </si>
  <si>
    <t xml:space="preserve">2030</t>
  </si>
  <si>
    <t xml:space="preserve">7. Tenant cost per IT kW-month ($)</t>
  </si>
  <si>
    <t xml:space="preserve">Infrastructure fee</t>
  </si>
  <si>
    <t xml:space="preserve">Grid power</t>
  </si>
  <si>
    <t xml:space="preserve">Evening self-supply premium</t>
  </si>
  <si>
    <t xml:space="preserve">All-in cost</t>
  </si>
  <si>
    <t xml:space="preserve">Power share of all-in cost</t>
  </si>
  <si>
    <t xml:space="preserve">Power-price gap vs Ethiopia-linked benchmark</t>
  </si>
  <si>
    <t xml:space="preserve">  as % of all-in cost</t>
  </si>
  <si>
    <t xml:space="preserve">8. Reference campus (44 MW, Base case)</t>
  </si>
  <si>
    <t xml:space="preserve">Value</t>
  </si>
  <si>
    <t xml:space="preserve">NPV ($m)</t>
  </si>
  <si>
    <t xml:space="preserve">IRR</t>
  </si>
  <si>
    <t xml:space="preserve">Break-even fee ($/kW-month)</t>
  </si>
  <si>
    <t xml:space="preserve">Stabilised EBITDA yield on build cost</t>
  </si>
  <si>
    <t xml:space="preserve">9. What it would take (Base supply, Targeted hub, 2030)</t>
  </si>
  <si>
    <t xml:space="preserve">Five-lever package (firm MW)</t>
  </si>
  <si>
    <t xml:space="preserve">Gap to minimum reserve margin (MW)</t>
  </si>
  <si>
    <t xml:space="preserve">Gap to target reserve margin (MW)</t>
  </si>
  <si>
    <t xml:space="preserve">Coverage of the target-margin gap (x)</t>
  </si>
  <si>
    <t xml:space="preserve">Indicative package cost ($m/yr)</t>
  </si>
  <si>
    <t xml:space="preserve">Reserve margin in 2030 after the package</t>
  </si>
  <si>
    <t xml:space="preserve">Share of package supplied by data centres themselves</t>
  </si>
  <si>
    <t xml:space="preserve">Hub's share of the target-margin gap</t>
  </si>
  <si>
    <t xml:space="preserve">Inputs and assumptions</t>
  </si>
  <si>
    <t xml:space="preserve">Blue = hard-coded input. Yellow fill = key lever. Tag: [S] sourced (see Sources sheet) / [A] analyst assumption. Scenario-invariant inputs are entered once in the Base column.</t>
  </si>
  <si>
    <t xml:space="preserve">ID</t>
  </si>
  <si>
    <t xml:space="preserve">Parameter</t>
  </si>
  <si>
    <t xml:space="preserve">Unit</t>
  </si>
  <si>
    <t xml:space="preserve">Tag</t>
  </si>
  <si>
    <t xml:space="preserve">Source / rationale</t>
  </si>
  <si>
    <t xml:space="preserve">A. Grid baseline (June 2026)</t>
  </si>
  <si>
    <t xml:space="preserve">peak0</t>
  </si>
  <si>
    <t xml:space="preserve">Peak demand, June 2026</t>
  </si>
  <si>
    <t xml:space="preserve">MW</t>
  </si>
  <si>
    <t xml:space="preserve">[S]</t>
  </si>
  <si>
    <t xml:space="preserve">S2: Kenya Power peak demand 2,514 MW in June 2026 (2,549 MW in July 2026).</t>
  </si>
  <si>
    <t xml:space="preserve">rm0</t>
  </si>
  <si>
    <t xml:space="preserve">Reserve margin applied to the June 2026 peak</t>
  </si>
  <si>
    <t xml:space="preserve">%</t>
  </si>
  <si>
    <t xml:space="preserve">S3: -1.5% over the 12 months to Jun 2026 (Stress). S2: 3.34% in Jun 2026 (Base). S2: 20.73% in Jan 2026 - Favourable assumes January-level availability is restored and sustained. IEA comfortable range 20-35% (S1).</t>
  </si>
  <si>
    <t xml:space="preserve">growth</t>
  </si>
  <si>
    <t xml:space="preserve">Peak-demand growth per year (excluding the hub programme)</t>
  </si>
  <si>
    <t xml:space="preserve">%/yr</t>
  </si>
  <si>
    <t xml:space="preserve">[S/A]</t>
  </si>
  <si>
    <t xml:space="preserve">S2: official projection c.5%/yr (Favourable). Observed: 6.4% FY24-FY25 and 8.5% FY25-Jun 2026 (S2 data) -&gt; Base 6.5%, Stress 8%.</t>
  </si>
  <si>
    <t xml:space="preserve">B. Firm, evening-capable supply additions (MW)</t>
  </si>
  <si>
    <t xml:space="preserve">eth_mw</t>
  </si>
  <si>
    <t xml:space="preserve">Ethiopia import uplift (200 -&gt; 400 MW)</t>
  </si>
  <si>
    <t xml:space="preserve">S2: Ethiopia imports of 200 MW 'expected to double'; S19: PPA allows up to 400 MW. Stress assumes only half the uplift is delivered.</t>
  </si>
  <si>
    <t xml:space="preserve">eth_yr</t>
  </si>
  <si>
    <t xml:space="preserve">Ethiopia uplift: first year counted in annual peak</t>
  </si>
  <si>
    <t xml:space="preserve">year</t>
  </si>
  <si>
    <t xml:space="preserve">[A]</t>
  </si>
  <si>
    <t xml:space="preserve">S2 says 'from December' without a year; Base assumes Dec 2026 so 2027 is the first full peak year (conflict C3).</t>
  </si>
  <si>
    <t xml:space="preserve">olk1_mw</t>
  </si>
  <si>
    <t xml:space="preserve">Olkaria I rehabilitation (45 -&gt; 61 MW)</t>
  </si>
  <si>
    <t xml:space="preserve">S13: +16 MW, late 2026.</t>
  </si>
  <si>
    <t xml:space="preserve">olk1_yr</t>
  </si>
  <si>
    <t xml:space="preserve">Olkaria I: first year counted</t>
  </si>
  <si>
    <t xml:space="preserve">S13 says late 2026 -&gt; first full peak year 2027.</t>
  </si>
  <si>
    <t xml:space="preserve">bess_mw</t>
  </si>
  <si>
    <t xml:space="preserve">Battery storage (KenGen BESS), evening-firm MW</t>
  </si>
  <si>
    <t xml:space="preserve">S13: 100 MW battery system planned for 2027; counted at full rating for a 4-hour evening peak.</t>
  </si>
  <si>
    <t xml:space="preserve">bess_yr</t>
  </si>
  <si>
    <t xml:space="preserve">BESS: first year counted</t>
  </si>
  <si>
    <t xml:space="preserve">S13: 2027. Stress delays one year.</t>
  </si>
  <si>
    <t xml:space="preserve">bess2_mw</t>
  </si>
  <si>
    <t xml:space="preserve">Additional storage procured through auctions</t>
  </si>
  <si>
    <t xml:space="preserve">S14: BESS to be competitively sourced inside the auction framework. Only the Favourable case assumes an extra 100 MW.</t>
  </si>
  <si>
    <t xml:space="preserve">bess2_yr</t>
  </si>
  <si>
    <t xml:space="preserve">Additional storage: first year counted</t>
  </si>
  <si>
    <t xml:space="preserve">Earliest realistic COD given S14 timelines (auction -&gt; PPA -&gt; financial close -&gt; COD).</t>
  </si>
  <si>
    <t xml:space="preserve">olk7_mw</t>
  </si>
  <si>
    <t xml:space="preserve">Olkaria VII geothermal</t>
  </si>
  <si>
    <t xml:space="preserve">S13: 80.3 MW under development; commissioning date not stated.</t>
  </si>
  <si>
    <t xml:space="preserve">olk7_yr</t>
  </si>
  <si>
    <t xml:space="preserve">Olkaria VII: first year counted</t>
  </si>
  <si>
    <t xml:space="preserve">S13 gives no date. Base assumes 2029.</t>
  </si>
  <si>
    <t xml:space="preserve">solar_mw</t>
  </si>
  <si>
    <t xml:space="preserve">Seven Forks solar</t>
  </si>
  <si>
    <t xml:space="preserve">S13: 42.5 MW solar.</t>
  </si>
  <si>
    <t xml:space="preserve">solar_firm</t>
  </si>
  <si>
    <t xml:space="preserve">Seven Forks: share counted at the evening peak</t>
  </si>
  <si>
    <t xml:space="preserve">S2: solar output falls away as the 6-10pm peak arrives, so solar adds nothing to the evening reserve margin.</t>
  </si>
  <si>
    <t xml:space="preserve">solar_yr</t>
  </si>
  <si>
    <t xml:space="preserve">Seven Forks: first year counted</t>
  </si>
  <si>
    <t xml:space="preserve">Date not stated in S13; irrelevant while the evening contribution is 0%.</t>
  </si>
  <si>
    <t xml:space="preserve">auction_mw</t>
  </si>
  <si>
    <t xml:space="preserve">New auction-procured firm capacity, per year from the first COD year</t>
  </si>
  <si>
    <t xml:space="preserve">MW/yr</t>
  </si>
  <si>
    <t xml:space="preserve">S14: auctions operational within 12 months; financial close 9-12 months after PPA; COD 24-30 months after financial close -&gt; first COD c.2030. Volume is an assumption: Stress none, Base 150 MW/yr, Favourable 300 MW/yr.</t>
  </si>
  <si>
    <t xml:space="preserve">auction_yr</t>
  </si>
  <si>
    <t xml:space="preserve">First COD year of auction-procured capacity</t>
  </si>
  <si>
    <t xml:space="preserve">Derived from the S14 timeline.</t>
  </si>
  <si>
    <t xml:space="preserve">C. Data-centre demand (hub cases)</t>
  </si>
  <si>
    <t xml:space="preserve">africa2030</t>
  </si>
  <si>
    <t xml:space="preserve">Africa data-centre capacity in 2030 (midpoint of 1.5-2.2 GW)</t>
  </si>
  <si>
    <t xml:space="preserve">S12: McKinsey range 1.5-2.2 GW by 2030; midpoint used.</t>
  </si>
  <si>
    <t xml:space="preserve">share</t>
  </si>
  <si>
    <t xml:space="preserve">Kenya share of Africa data-centre capacity in 2030</t>
  </si>
  <si>
    <t xml:space="preserve">Status quo = Kenya's current share (c.20 MW of &gt;500 MW, S9/S11 = 4%). Targeted = announced pipeline delivered (c.220 MW, S9). Ambitious = 20%, comparable to a clear No.2 hub.</t>
  </si>
  <si>
    <t xml:space="preserve">it2026</t>
  </si>
  <si>
    <t xml:space="preserve">Kenya data-centre IT capacity, 2026</t>
  </si>
  <si>
    <t xml:space="preserve">S9: almost 20 MW existing plus almost 25 MW expected by end-2025.</t>
  </si>
  <si>
    <t xml:space="preserve">pue</t>
  </si>
  <si>
    <t xml:space="preserve">Power usage effectiveness (PUE)</t>
  </si>
  <si>
    <t xml:space="preserve">x</t>
  </si>
  <si>
    <t xml:space="preserve">Typical 1.3-1.5 for a temperate-altitude site such as Nairobi; grid MW = IT MW x PUE.</t>
  </si>
  <si>
    <t xml:space="preserve">util</t>
  </si>
  <si>
    <t xml:space="preserve">Average IT utilisation (flat load at the evening peak)</t>
  </si>
  <si>
    <t xml:space="preserve">Contracted-and-drawing share of installed IT capacity at maturity; data-centre load is near-flat so peak = average.</t>
  </si>
  <si>
    <t xml:space="preserve">D. Economics</t>
  </si>
  <si>
    <t xml:space="preserve">fee</t>
  </si>
  <si>
    <t xml:space="preserve">Colocation infrastructure fee (ex-power)</t>
  </si>
  <si>
    <t xml:space="preserve">$/kW-month</t>
  </si>
  <si>
    <t xml:space="preserve">No public Kenyan price (paywalled in S9). Range spans typical wholesale-to-retail colocation. Replace with operator quotes before relying on it.</t>
  </si>
  <si>
    <t xml:space="preserve">capex</t>
  </si>
  <si>
    <t xml:space="preserve">Data-centre build cost</t>
  </si>
  <si>
    <t xml:space="preserve">$m per IT MW</t>
  </si>
  <si>
    <t xml:space="preserve">S21: JLL global average $11.3m/MW (Stress); emerging markets below $8m/MW (Base).</t>
  </si>
  <si>
    <t xml:space="preserve">campus_mw</t>
  </si>
  <si>
    <t xml:space="preserve">Average campus size</t>
  </si>
  <si>
    <t xml:space="preserve">MW IT</t>
  </si>
  <si>
    <t xml:space="preserve">Nxtra Tatu City is 44 MW (S10); smaller colocation sites pull the average down.</t>
  </si>
  <si>
    <t xml:space="preserve">jobs</t>
  </si>
  <si>
    <t xml:space="preserve">Operational jobs per campus</t>
  </si>
  <si>
    <t xml:space="preserve">S22: roughly 100-200 jobs at a typical treated US county; colocation is 'modest'.</t>
  </si>
  <si>
    <t xml:space="preserve">tariff</t>
  </si>
  <si>
    <t xml:space="preserve">All-in grid tariff to a large data-centre customer</t>
  </si>
  <si>
    <t xml:space="preserve">$/kWh</t>
  </si>
  <si>
    <t xml:space="preserve">S18: KSh 7.99/kWh (2020); S16: April 2026 pass-throughs add c.KSh 4.7/kWh; S15: wholesale c.$0.07. At c.KSh 129/$ (S15 implied) the range is $0.065-0.11 (conflict C5).</t>
  </si>
  <si>
    <t xml:space="preserve">eth_price</t>
  </si>
  <si>
    <t xml:space="preserve">Benchmark: Ethiopia-to-Kenya wholesale price</t>
  </si>
  <si>
    <t xml:space="preserve">S19: 6.5 US cents/kWh PPA price.</t>
  </si>
  <si>
    <t xml:space="preserve">lcos</t>
  </si>
  <si>
    <t xml:space="preserve">Cost of shifting energy through a 4-hour battery (global benchmark)</t>
  </si>
  <si>
    <t xml:space="preserve">$/MWh</t>
  </si>
  <si>
    <t xml:space="preserve">S23: BNEF 2025 four-hour battery LCOE.</t>
  </si>
  <si>
    <t xml:space="preserve">em_prem</t>
  </si>
  <si>
    <t xml:space="preserve">Emerging-market premium on storage cost</t>
  </si>
  <si>
    <t xml:space="preserve">Financing, import and logistics premium over the global benchmark.</t>
  </si>
  <si>
    <t xml:space="preserve">hours</t>
  </si>
  <si>
    <t xml:space="preserve">Evening peak hours to cover</t>
  </si>
  <si>
    <t xml:space="preserve">hours/day</t>
  </si>
  <si>
    <t xml:space="preserve">S2: evening peak c.6pm-10pm.</t>
  </si>
  <si>
    <t xml:space="preserve">rte</t>
  </si>
  <si>
    <t xml:space="preserve">Battery round-trip efficiency</t>
  </si>
  <si>
    <t xml:space="preserve">Typical lithium-ion utility-scale range 80-90%.</t>
  </si>
  <si>
    <t xml:space="preserve">charge_price</t>
  </si>
  <si>
    <t xml:space="preserve">Energy price paid to recharge the battery</t>
  </si>
  <si>
    <t xml:space="preserve">S15: wholesale c.$0.07/kWh.</t>
  </si>
  <si>
    <t xml:space="preserve">min_rm</t>
  </si>
  <si>
    <t xml:space="preserve">Minimum reserve margin before connecting new hub load</t>
  </si>
  <si>
    <t xml:space="preserve">Gate threshold. Below the IEA 20-35% comfortable range (S1) but well above the 3.3% of Jun 2026.</t>
  </si>
  <si>
    <t xml:space="preserve">target_rm</t>
  </si>
  <si>
    <t xml:space="preserve">Target reserve margin to restore</t>
  </si>
  <si>
    <t xml:space="preserve">Planning target; sensitivity on the Matrix sheet.</t>
  </si>
  <si>
    <t xml:space="preserve">E. Reference campus (Nxtra-scale, 44 MW in two phases)</t>
  </si>
  <si>
    <t xml:space="preserve">mw1</t>
  </si>
  <si>
    <t xml:space="preserve">Phase 1 IT capacity</t>
  </si>
  <si>
    <t xml:space="preserve">S10: two phases of 22 MW.</t>
  </si>
  <si>
    <t xml:space="preserve">mw2</t>
  </si>
  <si>
    <t xml:space="preserve">Phase 2 IT capacity</t>
  </si>
  <si>
    <t xml:space="preserve">S10.</t>
  </si>
  <si>
    <t xml:space="preserve">ph2_off</t>
  </si>
  <si>
    <t xml:space="preserve">Phase 2 starts this many years after phase 1</t>
  </si>
  <si>
    <t xml:space="preserve">years</t>
  </si>
  <si>
    <t xml:space="preserve">Typical lag between phases.</t>
  </si>
  <si>
    <t xml:space="preserve">wacc</t>
  </si>
  <si>
    <t xml:space="preserve">Discount rate (USD, pre-tax, unlevered)</t>
  </si>
  <si>
    <t xml:space="preserve">Hurdle for emerging-market digital infrastructure with some DFI participation. Sensitivity on UnitEconomics.</t>
  </si>
  <si>
    <t xml:space="preserve">opex_pct</t>
  </si>
  <si>
    <t xml:space="preserve">Variable opex (staff, maintenance, insurance, connectivity)</t>
  </si>
  <si>
    <t xml:space="preserve">% of revenue</t>
  </si>
  <si>
    <t xml:space="preserve">Analyst assumption.</t>
  </si>
  <si>
    <t xml:space="preserve">fixed_opex</t>
  </si>
  <si>
    <t xml:space="preserve">Fixed opex</t>
  </si>
  <si>
    <t xml:space="preserve">$m per installed MW per year</t>
  </si>
  <si>
    <t xml:space="preserve">maint</t>
  </si>
  <si>
    <t xml:space="preserve">Maintenance capex</t>
  </si>
  <si>
    <t xml:space="preserve">% of cumulative growth capex per year</t>
  </si>
  <si>
    <t xml:space="preserve">tv_mult</t>
  </si>
  <si>
    <t xml:space="preserve">Terminal value at end of horizon</t>
  </si>
  <si>
    <t xml:space="preserve">x EBITDA</t>
  </si>
  <si>
    <t xml:space="preserve">Conservative versus 15-20 year asset life; set to 0 to see the no-terminal-value case.</t>
  </si>
  <si>
    <t xml:space="preserve">start_year</t>
  </si>
  <si>
    <t xml:space="preserve">Campus phase 1 first operating year</t>
  </si>
  <si>
    <t xml:space="preserve">S10: ready for service Q1 2027.</t>
  </si>
  <si>
    <t xml:space="preserve">F. 'What it would take' package (Base supply, Targeted hub)</t>
  </si>
  <si>
    <t xml:space="preserve">lv_storage</t>
  </si>
  <si>
    <t xml:space="preserve">Utility-scale 4-hour storage procured through auctions</t>
  </si>
  <si>
    <t xml:space="preserve">S14: BESS to be competitively sourced; S13: first 100 MW due 2027. Size is an assumption.</t>
  </si>
  <si>
    <t xml:space="preserve">lv_import</t>
  </si>
  <si>
    <t xml:space="preserve">Second Ethiopia import tranche (beyond the 400 MW PPA cap)</t>
  </si>
  <si>
    <t xml:space="preserve">S2: Ethiopia has large hydro surplus; S19: current PPA caps at 400 MW. Size is an assumption.</t>
  </si>
  <si>
    <t xml:space="preserve">lv_geo</t>
  </si>
  <si>
    <t xml:space="preserve">Accelerated geothermal (Olkaria VII pull-forward + mobile wellhead units)</t>
  </si>
  <si>
    <t xml:space="preserve">S13: wellhead units 'by 2027' (MW not stated); Olkaria VII 80.3 MW. Size is an assumption.</t>
  </si>
  <si>
    <t xml:space="preserve">lv_auction</t>
  </si>
  <si>
    <t xml:space="preserve">Auction tranche pulled forward one year</t>
  </si>
  <si>
    <t xml:space="preserve">S14: first COD c.2030 on the stated timeline; pull-forward needs procurement and financial-close discipline.</t>
  </si>
  <si>
    <t xml:space="preserve">lf_import</t>
  </si>
  <si>
    <t xml:space="preserve">Load factor of imported power</t>
  </si>
  <si>
    <t xml:space="preserve">Analyst assumption for indicative energy cost.</t>
  </si>
  <si>
    <t xml:space="preserve">lf_geo</t>
  </si>
  <si>
    <t xml:space="preserve">Load factor of geothermal / new firm generation</t>
  </si>
  <si>
    <t xml:space="preserve">Geothermal runs near-baseload; analyst assumption.</t>
  </si>
  <si>
    <t xml:space="preserve">Grid headroom, 2026-2032: firm evening-capable supply versus peak demand (before any hub load)</t>
  </si>
  <si>
    <t xml:space="preserve">Each block is one supply scenario. Negative reserve margin = unserved peak (rationing) unless emergency capacity is bought; it measures the size of the response needed.</t>
  </si>
  <si>
    <t xml:space="preserve">Stress supply case</t>
  </si>
  <si>
    <t xml:space="preserve">Peak demand</t>
  </si>
  <si>
    <t xml:space="preserve">Baseline firm available capacity (Jun 2026, incl. imports)</t>
  </si>
  <si>
    <t xml:space="preserve">  + Ethiopia import uplift</t>
  </si>
  <si>
    <t xml:space="preserve">  + Olkaria I rehabilitation</t>
  </si>
  <si>
    <t xml:space="preserve">  + Battery storage (KenGen BESS)</t>
  </si>
  <si>
    <t xml:space="preserve">  + Additional storage (auctions)</t>
  </si>
  <si>
    <t xml:space="preserve">  + Olkaria VII geothermal</t>
  </si>
  <si>
    <t xml:space="preserve">  + Seven Forks solar (evening-firm share only)</t>
  </si>
  <si>
    <t xml:space="preserve">  + Auction-procured firm capacity (cumulative)</t>
  </si>
  <si>
    <t xml:space="preserve">Firm evening-capable capacity</t>
  </si>
  <si>
    <t xml:space="preserve">Reserve margin before hub load</t>
  </si>
  <si>
    <t xml:space="preserve">Spare MW (firm capacity minus peak)</t>
  </si>
  <si>
    <t xml:space="preserve">New firm MW needed each year just to hold the margin</t>
  </si>
  <si>
    <t xml:space="preserve">Base supply case</t>
  </si>
  <si>
    <t xml:space="preserve">Favourable supply case</t>
  </si>
  <si>
    <t xml:space="preserve">Data-centre demand and the size of the prize, 2026-2032</t>
  </si>
  <si>
    <t xml:space="preserve">Kenya IT capacity moves linearly from 2026 to the 2030 target (share of Africa capacity) and keeps that pace afterwards. Grid load counts only capacity above the Status quo case, because Status quo growth is already inside the peak-demand growth rate.</t>
  </si>
  <si>
    <t xml:space="preserve">Kenya data-centre IT capacity</t>
  </si>
  <si>
    <t xml:space="preserve">IT capacity above Status quo</t>
  </si>
  <si>
    <t xml:space="preserve">Hub load on the grid at the evening peak</t>
  </si>
  <si>
    <t xml:space="preserve">Infrastructure-fee revenue pool (Base fee)</t>
  </si>
  <si>
    <t xml:space="preserve">$m/yr</t>
  </si>
  <si>
    <t xml:space="preserve">Cumulative build investment since 2026 (Base cost)</t>
  </si>
  <si>
    <t xml:space="preserve">$m</t>
  </si>
  <si>
    <t xml:space="preserve">2030 prize and cost, by hub case</t>
  </si>
  <si>
    <t xml:space="preserve">Kenya IT capacity in 2030</t>
  </si>
  <si>
    <t xml:space="preserve">Share of Africa capacity in 2030</t>
  </si>
  <si>
    <t xml:space="preserve">Infrastructure-fee revenue pool, 2030</t>
  </si>
  <si>
    <t xml:space="preserve">Build investment 2026-2030</t>
  </si>
  <si>
    <t xml:space="preserve">$bn</t>
  </si>
  <si>
    <t xml:space="preserve">Campuses at average size</t>
  </si>
  <si>
    <t xml:space="preserve">count</t>
  </si>
  <si>
    <t xml:space="preserve">Operational jobs (base jobs per campus)</t>
  </si>
  <si>
    <t xml:space="preserve">Hub load added to the grid, 2030</t>
  </si>
  <si>
    <t xml:space="preserve">Cost to firm 1 MW of evening peak with 4-hour storage</t>
  </si>
  <si>
    <t xml:space="preserve">$ per MW-yr</t>
  </si>
  <si>
    <t xml:space="preserve">Hub-attributable firming cost, 2030</t>
  </si>
  <si>
    <t xml:space="preserve">Firming cost as % of infrastructure-fee revenue</t>
  </si>
  <si>
    <t xml:space="preserve">Energy drawn by the whole data-centre estate, 2030</t>
  </si>
  <si>
    <t xml:space="preserve">TWh/yr</t>
  </si>
  <si>
    <t xml:space="preserve">Cross-check: projected Kenya data-centre market in 2031 (S7)</t>
  </si>
  <si>
    <t xml:space="preserve">Top-down market / bottom-up fee pool (2031 vs 2030)</t>
  </si>
  <si>
    <t xml:space="preserve">Supply scenario x hub ambition: reserve margin, firm-MW gap and connectable load</t>
  </si>
  <si>
    <t xml:space="preserve">Reserve margin = (firm capacity - peak - hub load) / (peak + hub load).</t>
  </si>
  <si>
    <t xml:space="preserve">Supply case</t>
  </si>
  <si>
    <t xml:space="preserve">Hub case</t>
  </si>
  <si>
    <t xml:space="preserve">Reserve margin in 2030</t>
  </si>
  <si>
    <t xml:space="preserve">Supply case \ Hub case</t>
  </si>
  <si>
    <t xml:space="preserve">Firm MW needed in 2030 to reach the minimum reserve margin</t>
  </si>
  <si>
    <t xml:space="preserve">Firm MW needed in 2030 to reach the target reserve margin</t>
  </si>
  <si>
    <t xml:space="preserve">Storage (MWh, 4-hour) to carry the hub's own evening load in 2030</t>
  </si>
  <si>
    <t xml:space="preserve">Connectable new data-centre IT capacity (MW) while keeping the minimum reserve margin</t>
  </si>
  <si>
    <t xml:space="preserve">Connectable new data-centre IT capacity (MW) at the target reserve margin</t>
  </si>
  <si>
    <t xml:space="preserve">Unit economics: what a tenant pays, and whether a reference campus clears its hurdle</t>
  </si>
  <si>
    <t xml:space="preserve">Part 1 is a tenant's all-in cost per IT kW-month. Part 2 is an illustrative pre-tax, unlevered campus case; every driver is an input.</t>
  </si>
  <si>
    <t xml:space="preserve">Part 1. Tenant cost per IT kW-month</t>
  </si>
  <si>
    <t xml:space="preserve">Ethiopia-linked benchmark</t>
  </si>
  <si>
    <t xml:space="preserve">Grid power (PUE x 730 h x all-in tariff)</t>
  </si>
  <si>
    <t xml:space="preserve">Evening self-supply premium (storage shifting cost, per IT kW)</t>
  </si>
  <si>
    <t xml:space="preserve">All-in tenant cost</t>
  </si>
  <si>
    <t xml:space="preserve">Power (grid + evening premium) as % of all-in cost</t>
  </si>
  <si>
    <t xml:space="preserve">Power-price gap to the Ethiopia-linked benchmark (grid power only)</t>
  </si>
  <si>
    <t xml:space="preserve">  ...as % of the tenant's all-in cost</t>
  </si>
  <si>
    <t xml:space="preserve">Part 2. Reference campus cash flow (Base case, $m unless stated)</t>
  </si>
  <si>
    <t xml:space="preserve">t=0</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</si>
  <si>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</si>
  <si>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</si>
  <si>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</si>
  <si>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</si>
  <si>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</si>
  <si>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</si>
  <si>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</si>
  <si>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</si>
  <si>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</si>
  <si>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</si>
  <si>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</si>
  <si>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Period index t</t>
  </si>
  <si>
    <t xml:space="preserve">Calendar year</t>
  </si>
  <si>
    <t xml:space="preserve">Installed IT capacity</t>
  </si>
  <si>
    <t xml:space="preserve">Contracted IT load (input ramp)</t>
  </si>
  <si>
    <t xml:space="preserve">Contracted IT load (capped at installed)</t>
  </si>
  <si>
    <t xml:space="preserve">Infrastructure-fee revenue</t>
  </si>
  <si>
    <t xml:space="preserve">Variable opex</t>
  </si>
  <si>
    <t xml:space="preserve">EBITDA</t>
  </si>
  <si>
    <t xml:space="preserve">Growth capacity added (MW)</t>
  </si>
  <si>
    <t xml:space="preserve">Growth capex</t>
  </si>
  <si>
    <t xml:space="preserve">Cumulative growth MW at start of period</t>
  </si>
  <si>
    <t xml:space="preserve">Terminal value (multiple of final-year EBITDA)</t>
  </si>
  <si>
    <t xml:space="preserve">Pre-tax unlevered cash flow</t>
  </si>
  <si>
    <t xml:space="preserve">Linear decomposition (NPV is linear in fee and in capex per MW)</t>
  </si>
  <si>
    <t xml:space="preserve">Fee-linked cash flow per $1/kW-month of fee</t>
  </si>
  <si>
    <t xml:space="preserve">Fixed-opex cash flow (incl. terminal value effect)</t>
  </si>
  <si>
    <t xml:space="preserve">Capex cash flow per $1m of build cost per MW</t>
  </si>
  <si>
    <t xml:space="preserve">Results (Base case)</t>
  </si>
  <si>
    <t xml:space="preserve">NPV at the base discount rate</t>
  </si>
  <si>
    <t xml:space="preserve">IRR (pre-tax, unlevered, incl. terminal value)</t>
  </si>
  <si>
    <t xml:space="preserve">NPV with no terminal value</t>
  </si>
  <si>
    <t xml:space="preserve">NPV change per +$1/kW-month of fee</t>
  </si>
  <si>
    <t xml:space="preserve">NPV excluding fee and capex effects (fixed opex)</t>
  </si>
  <si>
    <t xml:space="preserve">NPV change per +$1m/MW of build cost</t>
  </si>
  <si>
    <t xml:space="preserve">Break-even fee at Base build cost (NPV = 0)</t>
  </si>
  <si>
    <t xml:space="preserve">Check: linear decomposition reproduces NPV (should be 0)</t>
  </si>
  <si>
    <t xml:space="preserve">Stabilised EBITDA yield on build cost (final year)</t>
  </si>
  <si>
    <t xml:space="preserve">NPV ($m): infrastructure fee ($/kW-month, down) x build cost ($m per MW, across)</t>
  </si>
  <si>
    <t xml:space="preserve">Fee \ Build cost</t>
  </si>
  <si>
    <t xml:space="preserve">Break-even fee</t>
  </si>
  <si>
    <t xml:space="preserve">NPV ($m) at different discount rates (Base fee and build cost)</t>
  </si>
  <si>
    <t xml:space="preserve">Rate</t>
  </si>
  <si>
    <t xml:space="preserve">NPV</t>
  </si>
  <si>
    <t xml:space="preserve">What it would take: five levers sized against the 2030 firm-capacity gap (Base supply, Targeted hub)</t>
  </si>
  <si>
    <t xml:space="preserve">Costs are indicative annual procurement costs, not a budget. Lever sizes are inputs on the Inputs sheet (section F).</t>
  </si>
  <si>
    <t xml:space="preserve">Lever</t>
  </si>
  <si>
    <t xml:space="preserve">Firm MW</t>
  </si>
  <si>
    <t xml:space="preserve">Lead time</t>
  </si>
  <si>
    <t xml:space="preserve">Evidence / basis</t>
  </si>
  <si>
    <t xml:space="preserve">Indicative cost ($m/yr)</t>
  </si>
  <si>
    <t xml:space="preserve">1. Data centres bring their own evening power (on-site storage)</t>
  </si>
  <si>
    <t xml:space="preserve">Built with each campus (12-18 months)</t>
  </si>
  <si>
    <t xml:space="preserve">S2: evening peak 6-10pm; sized at the Targeted-hub load added in 2030. Cost borne by tenants.</t>
  </si>
  <si>
    <t xml:space="preserve">2. Utility-scale 4-hour storage via auctions</t>
  </si>
  <si>
    <t xml:space="preserve">24-30 months after financial close (S14)</t>
  </si>
  <si>
    <t xml:space="preserve">S13 first 100 MW in 2027; S14 BESS inside the auction framework.</t>
  </si>
  <si>
    <t xml:space="preserve">3. Second Ethiopia import tranche</t>
  </si>
  <si>
    <t xml:space="preserve">12-24 months (existing interconnector)</t>
  </si>
  <si>
    <t xml:space="preserve">S2 / S19: 200 MW now, 400 MW PPA cap, large Ethiopian hydro surplus. Priced at the 6.5 c/kWh PPA benchmark.</t>
  </si>
  <si>
    <t xml:space="preserve">4. Accelerated geothermal (Olkaria VII, wellhead units)</t>
  </si>
  <si>
    <t xml:space="preserve">12-36 months (S13: wellhead units by 2027)</t>
  </si>
  <si>
    <t xml:space="preserve">S13: Olkaria VII 80.3 MW; mobile wellhead units. Priced at wholesale $0.07/kWh (S15).</t>
  </si>
  <si>
    <t xml:space="preserve">5. Auction tranche pulled forward one year</t>
  </si>
  <si>
    <t xml:space="preserve">Needs auction live by late 2026 (S14)</t>
  </si>
  <si>
    <t xml:space="preserve">S14: first COD c.2030; this lever brings one tranche to 2029. Priced at wholesale $0.07/kWh.</t>
  </si>
  <si>
    <t xml:space="preserve">Package total</t>
  </si>
  <si>
    <t xml:space="preserve">Coverage of the 2030 gap</t>
  </si>
  <si>
    <t xml:space="preserve">Gap to the minimum reserve margin (Base supply, Targeted hub, 2030)</t>
  </si>
  <si>
    <t xml:space="preserve">Gap to the target reserve margin (Base supply, Targeted hub, 2030)</t>
  </si>
  <si>
    <t xml:space="preserve">Package coverage of the minimum-margin gap</t>
  </si>
  <si>
    <t xml:space="preserve">Package coverage of the target-margin gap</t>
  </si>
  <si>
    <t xml:space="preserve">Reserve margin in 2030 after the package (Base supply, Targeted hub)</t>
  </si>
  <si>
    <t xml:space="preserve">Share of the package supplied by the data centres themselves (lever 1)</t>
  </si>
  <si>
    <t xml:space="preserve">Share of the target-margin gap attributable to the hub (hub load / gap)</t>
  </si>
  <si>
    <t xml:space="preserve">Beyond data centres: which energy-intensive industries fit Kenya's grid shape?</t>
  </si>
  <si>
    <t xml:space="preserve">Scores 1-5 are analyst JUDGEMENT [J], not data. Change the blue weights and scores to test the ranking; the equal-weight ranking shows how much the weights matter.</t>
  </si>
  <si>
    <t xml:space="preserve">Industry</t>
  </si>
  <si>
    <t xml:space="preserve">Fit with an evening-constrained grid (load flexibility)</t>
  </si>
  <si>
    <t xml:space="preserve">Market pull evidence</t>
  </si>
  <si>
    <t xml:space="preserve">Kenya's input advantage</t>
  </si>
  <si>
    <t xml:space="preserve">Jobs per MW</t>
  </si>
  <si>
    <t xml:space="preserve">Speed to deploy</t>
  </si>
  <si>
    <t xml:space="preserve">Weighted score</t>
  </si>
  <si>
    <t xml:space="preserve">Rank</t>
  </si>
  <si>
    <t xml:space="preserve">Equal-weight rank</t>
  </si>
  <si>
    <t xml:space="preserve">Equal-weight mean</t>
  </si>
  <si>
    <t xml:space="preserve">Weight</t>
  </si>
  <si>
    <t xml:space="preserve">Agro-processing and cold chain</t>
  </si>
  <si>
    <t xml:space="preserve">Night-shift heavy industry (cement, steel recycling, glass)</t>
  </si>
  <si>
    <t xml:space="preserve">Textiles and apparel in export zones</t>
  </si>
  <si>
    <t xml:space="preserve">Flexible / batch compute (AI training, rendering)</t>
  </si>
  <si>
    <t xml:space="preserve">EV and battery assembly, smart charging</t>
  </si>
  <si>
    <t xml:space="preserve">Cloud and colocation data centres</t>
  </si>
  <si>
    <t xml:space="preserve">Green hydrogen / ammonia (electrolysis)</t>
  </si>
  <si>
    <t xml:space="preserve">Why these criteria: Kenya's binding constraint is firm power at 6-10pm (S2). Loads that can move off that window, or store their own evening energy, use the grid's idle hours (night tariff uptake +74% in H2 2025, S17) instead of competing for its scarcest ones.</t>
  </si>
  <si>
    <t xml:space="preserve">Source register and conflicts</t>
  </si>
  <si>
    <t xml:space="preserve">Figures read on 2026-10-19. Press and trade-press sources: confirm against EPRA / Kenya Power primary releases before publication.</t>
  </si>
  <si>
    <t xml:space="preserve">Source</t>
  </si>
  <si>
    <t xml:space="preserve">Date</t>
  </si>
  <si>
    <t xml:space="preserve">URL</t>
  </si>
  <si>
    <t xml:space="preserve">What the model takes from it</t>
  </si>
  <si>
    <t xml:space="preserve">S1</t>
  </si>
  <si>
    <t xml:space="preserve">Business Daily - Kenya risks electricity cuts as reserve shrinks to 3.3pc</t>
  </si>
  <si>
    <t xml:space="preserve">2026-08-26</t>
  </si>
  <si>
    <t xml:space="preserve">https://www.businessdailyafrica.com/bd/corporate/industry/kenya-risks-electricity-cuts-as-reserve-shrinks-to-3-3pc-5572288</t>
  </si>
  <si>
    <t xml:space="preserve">Reserve margin below 3.3%; IEA comfortable range of 20-35%; State of the Grid briefing 11 Aug 2026</t>
  </si>
  <si>
    <t xml:space="preserve">S2</t>
  </si>
  <si>
    <t xml:space="preserve">TechTrends KE - Kenya electricity rationing risk</t>
  </si>
  <si>
    <t xml:space="preserve">2026-08-27</t>
  </si>
  <si>
    <t xml:space="preserve">https://techtrendske.co.ke/2026/08/27/kenya-electricity-rationing-risk/</t>
  </si>
  <si>
    <t xml:space="preserve">Peak demand series (2,177 / 2,316 / 2,514 / 2,549 MW); reserve margin 20.73% (Jan 2026) to 3.34% (Jun 2026); Ethiopia imports 200 MW expected to double; evening peak c.6-10pm; wind+solar &gt;20% of capacity; little battery storage</t>
  </si>
  <si>
    <t xml:space="preserve">S3</t>
  </si>
  <si>
    <t xml:space="preserve">Business Daily - How Kenya teetered on the brink of widespread power rationing</t>
  </si>
  <si>
    <t xml:space="preserve">2026-09-24</t>
  </si>
  <si>
    <t xml:space="preserve">https://www.businessdailyafrica.com/bd/corporate/industry/how-kenya-teetered-on-the-brink-of-widespread-power-rationing-5607180</t>
  </si>
  <si>
    <t xml:space="preserve">Reserve margin of -1.5% over the 12 months to June 2026 (headline figure only; article body did not load)</t>
  </si>
  <si>
    <t xml:space="preserve">S4</t>
  </si>
  <si>
    <t xml:space="preserve">Business Daily - Kenya electricity imports rise further to avert rationing</t>
  </si>
  <si>
    <t xml:space="preserve">2026-08-30</t>
  </si>
  <si>
    <t xml:space="preserve">https://www.businessdailyafrica.com/bd/corporate/industry/kenya-electricity-imports-rise-further-to-avert-rationing-5575112</t>
  </si>
  <si>
    <t xml:space="preserve">Imports 12% of Kenya Power supply in H1 2026 vs 10% in H1 2025 (Ethiopia, Uganda)</t>
  </si>
  <si>
    <t xml:space="preserve">S5</t>
  </si>
  <si>
    <t xml:space="preserve">Capital FM / AllAfrica - Kenya tops East Africa in power demand and renewables (EPRA 2025 statistics)</t>
  </si>
  <si>
    <t xml:space="preserve">2025-10-23</t>
  </si>
  <si>
    <t xml:space="preserve">https://capitalfm.africa/kenya-tops-east-africa-renewable-energy-generation-epra-report/</t>
  </si>
  <si>
    <t xml:space="preserve">Renewable share 80.17%; geothermal 940 MW; installed capacity 3,192 MW; peak demand 2,316 MW (2025)</t>
  </si>
  <si>
    <t xml:space="preserve">S6</t>
  </si>
  <si>
    <t xml:space="preserve">The Star - Kenya's renewable energy generation mix</t>
  </si>
  <si>
    <t xml:space="preserve">2026-04-09</t>
  </si>
  <si>
    <t xml:space="preserve">https://www.the-star.co.ke/news/infographics/2026-04-09-kenyas-renewable-energy-generation-mix</t>
  </si>
  <si>
    <t xml:space="preserve">Jul-Dec 2025 mix: geothermal 40.06%, thermal 9.11%, imports 12.10%, renewables 78.79%</t>
  </si>
  <si>
    <t xml:space="preserve">S7</t>
  </si>
  <si>
    <t xml:space="preserve">Semafor - Energy shortfall 'problem' scuppers Kenya's $1B Microsoft data center</t>
  </si>
  <si>
    <t xml:space="preserve">2026-05-06</t>
  </si>
  <si>
    <t xml:space="preserve">https://semafor.com/article/05/06/2026/energy-shortfall-problem-scuppers-kenyas-1b-microsoft-data-center</t>
  </si>
  <si>
    <t xml:space="preserve">Microsoft/G42 Olkaria project unlikely to proceed; President Ruto: power capacity inadequate; 10,000 MW by 2030 target; Kenya DC market projected at $805m by 2031; Nxtra 44 MW at Tatu City</t>
  </si>
  <si>
    <t xml:space="preserve">S8</t>
  </si>
  <si>
    <t xml:space="preserve">Citizen Digital - Kenya's $1B Microsoft data centre project in limbo over power concerns</t>
  </si>
  <si>
    <t xml:space="preserve">2026-05-23</t>
  </si>
  <si>
    <t xml:space="preserve">https://citizen.digital/article/kenyas-1b-microsoft-data-centre-project-in-limbo-over-power-concerns-n383281</t>
  </si>
  <si>
    <t xml:space="preserve">Government says project not abandoned; Ruto: one data centre requires 1,000 MW; daily load-shedding 5-10pm (Nov 2025); target at least 10,000 MW by 2030, &gt;KSh 1 trillion</t>
  </si>
  <si>
    <t xml:space="preserve">S9</t>
  </si>
  <si>
    <t xml:space="preserve">BusinessWire / ResearchAndMarkets - Kenya Colocation Data Center Portfolio Analysis 2025</t>
  </si>
  <si>
    <t xml:space="preserve">2025-06-18</t>
  </si>
  <si>
    <t xml:space="preserve">https://www.businesswire.com/news/home/20250618339125/en/Kenya-Colocation-Data-Center-Portfolio-Analysis-Report-2025-Detailed-Analysis-of-13-Existing-Data-Centers-and-9-Upcoming-Data-Centers---ResearchAndMarkets.com</t>
  </si>
  <si>
    <t xml:space="preserve">Existing IT capacity almost 20 MW; upcoming c.200 MW; almost 25 MW more by end-2025; 13 existing and 9 upcoming facilities</t>
  </si>
  <si>
    <t xml:space="preserve">S10</t>
  </si>
  <si>
    <t xml:space="preserve">Connecting Africa - Airtel breaks ground on 44MW data center in Nairobi</t>
  </si>
  <si>
    <t xml:space="preserve">2025-09</t>
  </si>
  <si>
    <t xml:space="preserve">https://www.connectingafrica.com/data-centers/airtel-breaks-ground-on-44mw-data-center-in-nairobi</t>
  </si>
  <si>
    <t xml:space="preserve">Nxtra by Airtel, Tatu City: 44 MW in two 22 MW phases; ready for service Q1 2027</t>
  </si>
  <si>
    <t xml:space="preserve">S11</t>
  </si>
  <si>
    <t xml:space="preserve">Nairametrics - Africa's data centre capacity exceeds 500 MW with 890 MW in pipeline (Fortren &amp; Company)</t>
  </si>
  <si>
    <t xml:space="preserve">2026-07-27</t>
  </si>
  <si>
    <t xml:space="preserve">https://nairametrics.com/2026/07/27/africas-data-centre-capacity-exceeds-500-mw-with-890-mw-in-pipeline-report/</t>
  </si>
  <si>
    <t xml:space="preserve">Africa &gt;500 MW operational, 890 MW pipeline; South Africa &gt;60% of operational capacity; Teraco Isando 70 MW; Lagos campus 36 MW</t>
  </si>
  <si>
    <t xml:space="preserve">S12</t>
  </si>
  <si>
    <t xml:space="preserve">Morocco World News - McKinsey: Africa has entered a high-speed race to expand data center capacity by 2030</t>
  </si>
  <si>
    <t xml:space="preserve">2025-11</t>
  </si>
  <si>
    <t xml:space="preserve">https://www.moroccoworldnews.com/2025/11/269877/mckinsey-africa-has-entered-high-speed-race-to-expand-data-center-capacity-by-2030/</t>
  </si>
  <si>
    <t xml:space="preserve">Africa c.0.4 GW installed today, 1.5-2.2 GW by 2030; $10-20bn investment; &gt;30 outages a month in some markets; uneven connectivity</t>
  </si>
  <si>
    <t xml:space="preserve">S13</t>
  </si>
  <si>
    <t xml:space="preserve">SolarQuarter - KenGen to add 253 MW renewable energy to Kenya's grid by 2027</t>
  </si>
  <si>
    <t xml:space="preserve">2026-02-24</t>
  </si>
  <si>
    <t xml:space="preserve">https://solarquarter.com/2026/02/24/kengen-to-add-253-mw-renewable-energy-to-kenyas-grid-by-2027/</t>
  </si>
  <si>
    <t xml:space="preserve">Olkaria I rehab +16 MW (late 2026); Olkaria VII 80.3 MW; Seven Forks solar 42.5 MW; 100 MW BESS in 2027; headline 253 MW</t>
  </si>
  <si>
    <t xml:space="preserve">S14</t>
  </si>
  <si>
    <t xml:space="preserve">Bowmans - Kenya turns the lights back on: PPA moratorium lifted</t>
  </si>
  <si>
    <t xml:space="preserve">2025-12-03</t>
  </si>
  <si>
    <t xml:space="preserve">https://bowmanslaw.com/insights/kenya-turns-the-lights-back-on-power-purchase-agreements-moratorium-lifted/</t>
  </si>
  <si>
    <t xml:space="preserve">Auctions to be operational within 12 months; financial close 9-12 months after PPA; COD 24-30 months after financial close; BESS procurement; independent IPP office within 24 months</t>
  </si>
  <si>
    <t xml:space="preserve">S15</t>
  </si>
  <si>
    <t xml:space="preserve">The Kenya Times - MPs vote to lift ban on electricity purchase deals</t>
  </si>
  <si>
    <t xml:space="preserve">2025-11-13</t>
  </si>
  <si>
    <t xml:space="preserve">https://thekenyatimes.com/latest-kenya-times-news/boost-for-kenya-power-as-mps-vote-to-lift-ban-on-electricity-purchase-deals-what-it-means/</t>
  </si>
  <si>
    <t xml:space="preserve">Vote on 12 Nov 2025; record peak 2,362 MW on 25 Jul 2025; Trade CS cites wholesale c.$0.07 (KSh 9.04) per kWh; Ethiopia imports 200 MW</t>
  </si>
  <si>
    <t xml:space="preserve">S16</t>
  </si>
  <si>
    <t xml:space="preserve">Capital FM - Electricity bills set to rise as EPRA introduces new April 2026 charges</t>
  </si>
  <si>
    <t xml:space="preserve">2026-04</t>
  </si>
  <si>
    <t xml:space="preserve">https://capitalfm.africa/electricity-bills-set-to-rise-as-epra-introduces-new-april-2026-charges/</t>
  </si>
  <si>
    <t xml:space="preserve">Fuel Energy Cost Charge KSh 3.47/kWh; forex adjustment KSh 1.2341/kWh (April 2026 gazette)</t>
  </si>
  <si>
    <t xml:space="preserve">S17</t>
  </si>
  <si>
    <t xml:space="preserve">Business Daily - Off-peak power saves firms Sh971m as uptake of night tariff jumps</t>
  </si>
  <si>
    <t xml:space="preserve">2026-04-05</t>
  </si>
  <si>
    <t xml:space="preserve">https://www.businessdailyafrica.com/bd/corporate/industry/off-peak-power-saves-firms-sh971m-uptake-night-tariff-jumps-5412322</t>
  </si>
  <si>
    <t xml:space="preserve">Time-of-use tariff gives 50% off-peak discount; 148 GWh used in H2 2025 (+74%); KSh 971m saved</t>
  </si>
  <si>
    <t xml:space="preserve">S18</t>
  </si>
  <si>
    <t xml:space="preserve">Business Daily - Energy regulator cuts power costs for large users by 20 percent</t>
  </si>
  <si>
    <t xml:space="preserve">2020-02-24</t>
  </si>
  <si>
    <t xml:space="preserve">https://www.businessdailyafrica.com/bd/economy/energy-regulator-cuts-power-costs-for-large-users-by-20-percent-2281418</t>
  </si>
  <si>
    <t xml:space="preserve">Large-user tariff cut from KSh 10.10 to KSh 7.99 per kWh (2020 - dated; used only as a floor reference)</t>
  </si>
  <si>
    <t xml:space="preserve">S19</t>
  </si>
  <si>
    <t xml:space="preserve">The Reporter Ethiopia - With surplus power, Ethiopia exports more electricity to neighbours</t>
  </si>
  <si>
    <t xml:space="preserve">2022-08-20</t>
  </si>
  <si>
    <t xml:space="preserve">https://www.thereporterethiopia.com/25841/</t>
  </si>
  <si>
    <t xml:space="preserve">Ethiopia-Kenya PPA: up to 400 MW (200 MW for first five years) at 6.5 US cents/kWh</t>
  </si>
  <si>
    <t xml:space="preserve">S20</t>
  </si>
  <si>
    <t xml:space="preserve">ATC News - Mombasa: East Africa's primary digital gateway</t>
  </si>
  <si>
    <t xml:space="preserve">2026-09-07</t>
  </si>
  <si>
    <t xml:space="preserve">https://atcnews.org/mombasa-east-africas-primary-digital-gateway/</t>
  </si>
  <si>
    <t xml:space="preserve">Seven operational subsea systems rising to nine by 2027; &gt;95% of Kenya's international traffic lands at Mombasa</t>
  </si>
  <si>
    <t xml:space="preserve">S21</t>
  </si>
  <si>
    <t xml:space="preserve">Datacentres.com - Data centre construction costs rise to $11.3M per MW in 2026 (JLL)</t>
  </si>
  <si>
    <t xml:space="preserve">2026-05-12</t>
  </si>
  <si>
    <t xml:space="preserve">https://www.datacentres.com/news/data-centre-construction-costs-11m-per-mw</t>
  </si>
  <si>
    <t xml:space="preserve">Global average build cost $11.3m/MW (2026); emerging markets below $8m/MW</t>
  </si>
  <si>
    <t xml:space="preserve">S22</t>
  </si>
  <si>
    <t xml:space="preserve">Brookings - New evidence on data center employment effects</t>
  </si>
  <si>
    <t xml:space="preserve">2026-08 (updated)</t>
  </si>
  <si>
    <t xml:space="preserve">https://www.brookings.edu/articles/new-evidence-on-data-center-employment-effects/</t>
  </si>
  <si>
    <t xml:space="preserve">Roughly 100-200 jobs at a typical treated US county; colocation = modest operational employment</t>
  </si>
  <si>
    <t xml:space="preserve">S23</t>
  </si>
  <si>
    <t xml:space="preserve">Carbon Credits - Renewables plus storage surge as battery costs drop to record low (BNEF)</t>
  </si>
  <si>
    <t xml:space="preserve">2026</t>
  </si>
  <si>
    <t xml:space="preserve">https://carboncredits.com/?p=41914</t>
  </si>
  <si>
    <t xml:space="preserve">BNEF global benchmark: four-hour battery storage LCOE $78/MWh in 2025, down 27% year on year</t>
  </si>
  <si>
    <t xml:space="preserve">S24</t>
  </si>
  <si>
    <t xml:space="preserve">Bowmans - Kenya data centre establishment and service contracts</t>
  </si>
  <si>
    <t xml:space="preserve">n.d.</t>
  </si>
  <si>
    <t xml:space="preserve">https://bowmanslaw.com/insights/kenya-data-centre-establishment-and-service-contracts-legal-and-commercial-insights/</t>
  </si>
  <si>
    <t xml:space="preserve">No single data-centre law; Data Protection Act 2019; Cloud Policy 2024 promotes localisation of sensitive data; SEZ Authority can consolidate approvals</t>
  </si>
  <si>
    <t xml:space="preserve">S25</t>
  </si>
  <si>
    <t xml:space="preserve">Business Daily - Kenya races to relax rule on cheaper night tariff for factories</t>
  </si>
  <si>
    <t xml:space="preserve">2025</t>
  </si>
  <si>
    <t xml:space="preserve">https://www.businessdailyafrica.com/bd/economy/kenya-races-to-relax-rule-on-cheaper-night-tariff-for-factories-4781552</t>
  </si>
  <si>
    <t xml:space="preserve">Energy CS: government racing to relax conditions that hamper night-tariff uptake by large industry</t>
  </si>
  <si>
    <t xml:space="preserve">S26</t>
  </si>
  <si>
    <t xml:space="preserve">Nation - Kenya Power takes biggest sales fall from industrial users</t>
  </si>
  <si>
    <t xml:space="preserve">https://beta.nation.co.ke/kenya/business/companies/kenya-power-takes-biggest-sales-fall-from-industrial-users-5282278</t>
  </si>
  <si>
    <t xml:space="preserve">Large-industrial revenue KSh 106.5bn in FY to June 2025, down 9.5% on KSh 117.7bn</t>
  </si>
  <si>
    <t xml:space="preserve">S28</t>
  </si>
  <si>
    <t xml:space="preserve">Shega - Ethiopia raises power tariffs for crypto miners in new cost-recovery drive</t>
  </si>
  <si>
    <t xml:space="preserve">2025-10-29</t>
  </si>
  <si>
    <t xml:space="preserve">https://shega.co/news/ethiopia-raises-power-tariffs-for-crypto-miners-in-new-cost-recovery-drive</t>
  </si>
  <si>
    <t xml:space="preserve">From 1 Dec, time-of-use and availability-based tariffs replace Ethiopia's old flat rate for crypto miners (rates not retrieved)</t>
  </si>
  <si>
    <t xml:space="preserve">S27</t>
  </si>
  <si>
    <t xml:space="preserve">TimesLive / MEA Tech Watch - Morocco to build 500MW renewable-powered data centre in Dakhla</t>
  </si>
  <si>
    <t xml:space="preserve">2025-07-10</t>
  </si>
  <si>
    <t xml:space="preserve">https://www.timeslive.co.za/news/africa/2025-07-10-morocco-to-build-data-centre-powered-by-renewable-energy/</t>
  </si>
  <si>
    <t xml:space="preserve">Reported plan for a 500 MW renewable-powered data centre campus at Dakhla (headline-level; not independently verified)</t>
  </si>
  <si>
    <t xml:space="preserve">Conflict between sources</t>
  </si>
  <si>
    <t xml:space="preserve">How the model resolves it</t>
  </si>
  <si>
    <t xml:space="preserve">C1</t>
  </si>
  <si>
    <t xml:space="preserve">Installed capacity: EPRA 3,192 MW (S5) vs 'about 3,000 MW' (S7) vs 'whole country has 2,300 MW' and 'peak crossed 3,000 MW' (S8)</t>
  </si>
  <si>
    <t xml:space="preserve">Model uses EPRA/Kenya Power series: peak demand 2,514 MW (Jun 2026) and reserve margin 3.34% (S2). The 2,300 MW and 3,000 MW remarks are political shorthand and are not used.</t>
  </si>
  <si>
    <t xml:space="preserve">C2</t>
  </si>
  <si>
    <t xml:space="preserve">Nxtra Tatu City completion: 'this year' (S7) vs ready for service Q1 2027 (S10)</t>
  </si>
  <si>
    <t xml:space="preserve">Model uses Q1 2027 (S10) as the more specific, company-sourced date.</t>
  </si>
  <si>
    <t xml:space="preserve">C3</t>
  </si>
  <si>
    <t xml:space="preserve">Ethiopia import uplift 'expected to double from December' (S2) with no year given</t>
  </si>
  <si>
    <t xml:space="preserve">Base case assumes December 2026 (available in 2027 annual peak); Stress case halves the uplift and delays it to 2028.</t>
  </si>
  <si>
    <t xml:space="preserve">C4</t>
  </si>
  <si>
    <t xml:space="preserve">Peak-demand growth: official projection of c.5% a year (S2) vs observed 6.4% (FY25) and 8.5% (FY25 to Jun 2026) from S2 data</t>
  </si>
  <si>
    <t xml:space="preserve">Base case uses 6.5%; Favourable uses the official 5%; Stress uses 8%.</t>
  </si>
  <si>
    <t xml:space="preserve">C5</t>
  </si>
  <si>
    <t xml:space="preserve">Large-user tariff KSh 7.99/kWh is from 2020 (S18); April 2026 pass-through charges add c.KSh 4.7/kWh (S16)</t>
  </si>
  <si>
    <t xml:space="preserve">Model treats the all-in tariff as a range ($0.065 favourable / $0.09 base / $0.11 stress) rather than quoting a single current rate.</t>
  </si>
  <si>
    <t xml:space="preserve">C6</t>
  </si>
  <si>
    <t xml:space="preserve">Ruto's remark that one data centre needs 1,000 MW (S7, S8) is an upper-bound political statement about the full Microsoft/G42 campus</t>
  </si>
  <si>
    <t xml:space="preserve">Not used as a model input. Model sizes data-centre load from IT capacity, PUE and utilisation instead.</t>
  </si>
  <si>
    <t xml:space="preserve">Model integrity checks</t>
  </si>
  <si>
    <t xml:space="preserve">All checks should read TRUE.</t>
  </si>
  <si>
    <t xml:space="preserve">Check</t>
  </si>
  <si>
    <t xml:space="preserve">Result</t>
  </si>
  <si>
    <t xml:space="preserve">Base reserve margin reproduces the sourced 3.34% in 2026</t>
  </si>
  <si>
    <t xml:space="preserve">Hub Targeted IT capacity in 2030 equals share x Africa 2030 capacity</t>
  </si>
  <si>
    <t xml:space="preserve">Hub Status quo adds no incremental grid load</t>
  </si>
  <si>
    <t xml:space="preserve">Campus NPV linear decomposition reproduces NPV</t>
  </si>
  <si>
    <t xml:space="preserve">Reserve margin matrix, Base supply / Status quo equals Grid reserve margin in 2030</t>
  </si>
  <si>
    <t xml:space="preserve">Stress supply is never better than Base in 2030 (no hub)</t>
  </si>
  <si>
    <t xml:space="preserve">Base supply is never better than Favourable in 2030 (no hub)</t>
  </si>
  <si>
    <t xml:space="preserve">Tenant all-in cost equals sum of components (Base)</t>
  </si>
  <si>
    <t xml:space="preserve">Screen weights sum to 100%</t>
  </si>
  <si>
    <t xml:space="preserve">Levers: package MW equals sum of lever rows</t>
  </si>
  <si>
    <t xml:space="preserve">All checks pass</t>
  </si>
</sst>
</file>

<file path=xl/styles.xml><?xml version="1.0" encoding="utf-8"?>
<styleSheet xmlns="http://schemas.openxmlformats.org/spreadsheetml/2006/main">
  <numFmts count="16">
    <numFmt numFmtId="164" formatCode="General"/>
    <numFmt numFmtId="165" formatCode="#,##0;\(#,##0\);\-"/>
    <numFmt numFmtId="166" formatCode="0.0%;\(0.0%\);\-"/>
    <numFmt numFmtId="167" formatCode="\$0.00"/>
    <numFmt numFmtId="168" formatCode="#,##0.0;\(#,##0.0\);\-"/>
    <numFmt numFmtId="169" formatCode="0.00"/>
    <numFmt numFmtId="170" formatCode="\$#,##0.0;&quot;($&quot;#,##0.0\);\-"/>
    <numFmt numFmtId="171" formatCode="0.00\x"/>
    <numFmt numFmtId="172" formatCode="0"/>
    <numFmt numFmtId="173" formatCode="\$#,##0;&quot;($&quot;#,##0\);\-"/>
    <numFmt numFmtId="174" formatCode="\$0.000;&quot;($&quot;0.000\);\-"/>
    <numFmt numFmtId="175" formatCode="0.0\x"/>
    <numFmt numFmtId="176" formatCode="0.000"/>
    <numFmt numFmtId="177" formatCode="0.000000"/>
    <numFmt numFmtId="178" formatCode="0%"/>
    <numFmt numFmtId="179"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2343B"/>
      <name val="Arial"/>
      <family val="0"/>
      <charset val="1"/>
    </font>
    <font>
      <sz val="10"/>
      <name val="Arial"/>
      <family val="0"/>
      <charset val="1"/>
    </font>
    <font>
      <b val="true"/>
      <sz val="10"/>
      <name val="Arial"/>
      <family val="0"/>
      <charset val="1"/>
    </font>
    <font>
      <i val="true"/>
      <sz val="10"/>
      <color rgb="FF555555"/>
      <name val="Arial"/>
      <family val="0"/>
      <charset val="1"/>
    </font>
    <font>
      <b val="true"/>
      <sz val="10"/>
      <color rgb="FFFFFFFF"/>
      <name val="Arial"/>
      <family val="0"/>
      <charset val="1"/>
    </font>
    <font>
      <sz val="10"/>
      <color rgb="FF008000"/>
      <name val="Arial"/>
      <family val="0"/>
      <charset val="1"/>
    </font>
    <font>
      <sz val="10"/>
      <color rgb="FF0000FF"/>
      <name val="Arial"/>
      <family val="0"/>
      <charset val="1"/>
    </font>
    <font>
      <sz val="10"/>
      <name val="Arial"/>
      <family val="2"/>
    </font>
  </fonts>
  <fills count="6">
    <fill>
      <patternFill patternType="none"/>
    </fill>
    <fill>
      <patternFill patternType="gray125"/>
    </fill>
    <fill>
      <patternFill patternType="solid">
        <fgColor rgb="FF12343B"/>
        <bgColor rgb="FF333333"/>
      </patternFill>
    </fill>
    <fill>
      <patternFill patternType="solid">
        <fgColor rgb="FFDCE9E6"/>
        <bgColor rgb="FFF3F7F6"/>
      </patternFill>
    </fill>
    <fill>
      <patternFill patternType="solid">
        <fgColor rgb="FFFFFF00"/>
        <bgColor rgb="FFFFFF00"/>
      </patternFill>
    </fill>
    <fill>
      <patternFill patternType="solid">
        <fgColor rgb="FFF3F7F6"/>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3" fontId="10" fillId="4"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4" fontId="10" fillId="4"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5" fontId="10" fillId="0" borderId="0" xfId="0" applyFont="true" applyBorder="false" applyAlignment="false" applyProtection="false">
      <alignment horizontal="general" vertical="bottom" textRotation="0" wrapText="false" indent="0" shrinkToFit="false"/>
      <protection locked="true" hidden="false"/>
    </xf>
    <xf numFmtId="172" fontId="8" fillId="2" borderId="0" xfId="0" applyFont="true" applyBorder="false" applyAlignment="true" applyProtection="false">
      <alignment horizontal="center"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5" borderId="0" xfId="0" applyFont="true" applyBorder="false" applyAlignment="false" applyProtection="false">
      <alignment horizontal="general" vertical="bottom" textRotation="0" wrapText="false" indent="0" shrinkToFit="false"/>
      <protection locked="true" hidden="false"/>
    </xf>
    <xf numFmtId="165" fontId="6" fillId="5"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6" fontId="5" fillId="5" borderId="0" xfId="0" applyFont="true" applyBorder="fals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0" fontId="6" fillId="5"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8" fontId="6" fillId="5"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68" fontId="5" fillId="5" borderId="0" xfId="0" applyFont="true" applyBorder="false" applyAlignment="false" applyProtection="false">
      <alignment horizontal="general" vertical="bottom" textRotation="0" wrapText="false" indent="0" shrinkToFit="false"/>
      <protection locked="true" hidden="false"/>
    </xf>
    <xf numFmtId="176" fontId="5" fillId="5" borderId="0" xfId="0" applyFont="true" applyBorder="false" applyAlignment="false" applyProtection="false">
      <alignment horizontal="general" vertical="bottom" textRotation="0" wrapText="false" indent="0" shrinkToFit="false"/>
      <protection locked="true" hidden="false"/>
    </xf>
    <xf numFmtId="177" fontId="5" fillId="5" borderId="0" xfId="0" applyFont="true" applyBorder="false" applyAlignment="false" applyProtection="false">
      <alignment horizontal="general" vertical="bottom" textRotation="0" wrapText="false" indent="0" shrinkToFit="false"/>
      <protection locked="true" hidden="false"/>
    </xf>
    <xf numFmtId="173" fontId="6" fillId="5"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true" indent="0" shrinkToFit="false"/>
      <protection locked="true" hidden="false"/>
    </xf>
    <xf numFmtId="178" fontId="10" fillId="0" borderId="0" xfId="0" applyFont="true" applyBorder="false" applyAlignment="false" applyProtection="false">
      <alignment horizontal="general" vertical="bottom" textRotation="0" wrapText="false" indent="0" shrinkToFit="false"/>
      <protection locked="true" hidden="false"/>
    </xf>
    <xf numFmtId="178"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6" fillId="5"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9"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7F6"/>
      <rgbColor rgb="FFDCE9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2343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1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4" min="2" style="0" width="16"/>
    <col collapsed="false" customWidth="true" hidden="false" outlineLevel="0" max="5" min="5" style="0" width="60"/>
  </cols>
  <sheetData>
    <row r="1" customFormat="false" ht="17.35" hidden="false" customHeight="false" outlineLevel="0" collapsed="false">
      <c r="A1" s="1" t="s">
        <v>20</v>
      </c>
    </row>
    <row r="2" customFormat="false" ht="15" hidden="false" customHeight="false" outlineLevel="0" collapsed="false">
      <c r="A2" s="4" t="s">
        <v>21</v>
      </c>
    </row>
    <row r="4" customFormat="false" ht="15" hidden="false" customHeight="false" outlineLevel="0" collapsed="false">
      <c r="A4" s="5" t="s">
        <v>22</v>
      </c>
      <c r="B4" s="6" t="s">
        <v>23</v>
      </c>
      <c r="C4" s="6" t="s">
        <v>24</v>
      </c>
      <c r="D4" s="6" t="s">
        <v>25</v>
      </c>
    </row>
    <row r="5" customFormat="false" ht="15" hidden="false" customHeight="false" outlineLevel="0" collapsed="false">
      <c r="A5" s="2" t="s">
        <v>26</v>
      </c>
      <c r="B5" s="7" t="n">
        <f aca="false">Grid!C5</f>
        <v>2514</v>
      </c>
      <c r="C5" s="7" t="n">
        <f aca="false">Grid!C20</f>
        <v>2514</v>
      </c>
      <c r="D5" s="7" t="n">
        <f aca="false">Grid!C35</f>
        <v>2514</v>
      </c>
      <c r="E5" s="4"/>
    </row>
    <row r="6" customFormat="false" ht="15" hidden="false" customHeight="false" outlineLevel="0" collapsed="false">
      <c r="A6" s="2" t="s">
        <v>27</v>
      </c>
      <c r="B6" s="7" t="n">
        <f aca="false">Grid!C14</f>
        <v>2476.29</v>
      </c>
      <c r="C6" s="7" t="n">
        <f aca="false">Grid!C29</f>
        <v>2597.9676</v>
      </c>
      <c r="D6" s="7" t="n">
        <f aca="false">Grid!C44</f>
        <v>3035.1522</v>
      </c>
      <c r="E6" s="4"/>
    </row>
    <row r="7" customFormat="false" ht="15" hidden="false" customHeight="false" outlineLevel="0" collapsed="false">
      <c r="A7" s="2" t="s">
        <v>28</v>
      </c>
      <c r="B7" s="7" t="n">
        <f aca="false">Grid!C16</f>
        <v>-37.71</v>
      </c>
      <c r="C7" s="7" t="n">
        <f aca="false">Grid!C31</f>
        <v>83.9676000000004</v>
      </c>
      <c r="D7" s="7" t="n">
        <f aca="false">Grid!C46</f>
        <v>521.1522</v>
      </c>
      <c r="E7" s="4" t="s">
        <v>29</v>
      </c>
    </row>
    <row r="8" customFormat="false" ht="15" hidden="false" customHeight="false" outlineLevel="0" collapsed="false">
      <c r="A8" s="2" t="s">
        <v>30</v>
      </c>
      <c r="B8" s="8" t="n">
        <f aca="false">Grid!D15</f>
        <v>-0.0879629629629631</v>
      </c>
      <c r="C8" s="8" t="n">
        <f aca="false">Grid!D30</f>
        <v>0.0883531472579846</v>
      </c>
      <c r="D8" s="8" t="n">
        <f aca="false">Grid!D45</f>
        <v>0.269520096980717</v>
      </c>
      <c r="E8" s="4"/>
    </row>
    <row r="9" customFormat="false" ht="15" hidden="false" customHeight="false" outlineLevel="0" collapsed="false">
      <c r="A9" s="2" t="s">
        <v>31</v>
      </c>
      <c r="B9" s="8" t="n">
        <f aca="false">Grid!E15</f>
        <v>-0.0818596927166716</v>
      </c>
      <c r="C9" s="8" t="n">
        <f aca="false">Grid!E30</f>
        <v>0.0219278378009244</v>
      </c>
      <c r="D9" s="8" t="n">
        <f aca="false">Grid!E45</f>
        <v>0.238038305218667</v>
      </c>
      <c r="E9" s="4"/>
    </row>
    <row r="10" customFormat="false" ht="15" hidden="false" customHeight="false" outlineLevel="0" collapsed="false">
      <c r="A10" s="2" t="s">
        <v>32</v>
      </c>
      <c r="B10" s="8" t="n">
        <f aca="false">Grid!G15</f>
        <v>-0.189364988239889</v>
      </c>
      <c r="C10" s="8" t="n">
        <f aca="false">Grid!G30</f>
        <v>-0.0277995984755658</v>
      </c>
      <c r="D10" s="8" t="n">
        <f aca="false">Grid!G45</f>
        <v>0.253836597846778</v>
      </c>
      <c r="E10" s="4"/>
    </row>
    <row r="11" customFormat="false" ht="15" hidden="false" customHeight="false" outlineLevel="0" collapsed="false">
      <c r="A11" s="2" t="s">
        <v>33</v>
      </c>
      <c r="B11" s="8" t="n">
        <f aca="false">Grid!I15</f>
        <v>-0.305011135322265</v>
      </c>
      <c r="C11" s="8" t="n">
        <f aca="false">Grid!I30</f>
        <v>-0.0610683768679352</v>
      </c>
      <c r="D11" s="8" t="n">
        <f aca="false">Grid!I45</f>
        <v>0.315361122155631</v>
      </c>
      <c r="E11" s="4"/>
    </row>
    <row r="12" customFormat="false" ht="15" hidden="false" customHeight="false" outlineLevel="0" collapsed="false">
      <c r="A12" s="2" t="s">
        <v>34</v>
      </c>
      <c r="B12" s="7" t="n">
        <f aca="false">Grid!G17</f>
        <v>253.35327744</v>
      </c>
      <c r="C12" s="7" t="n">
        <f aca="false">Grid!G32</f>
        <v>197.39104822125</v>
      </c>
      <c r="D12" s="7" t="n">
        <f aca="false">Grid!G47</f>
        <v>145.5134625</v>
      </c>
      <c r="E12" s="4"/>
    </row>
    <row r="14" customFormat="false" ht="15" hidden="false" customHeight="false" outlineLevel="0" collapsed="false">
      <c r="A14" s="5" t="s">
        <v>35</v>
      </c>
      <c r="B14" s="6" t="s">
        <v>36</v>
      </c>
      <c r="C14" s="6" t="s">
        <v>37</v>
      </c>
      <c r="D14" s="6" t="s">
        <v>38</v>
      </c>
    </row>
    <row r="15" customFormat="false" ht="15" hidden="false" customHeight="false" outlineLevel="0" collapsed="false">
      <c r="A15" s="2" t="s">
        <v>39</v>
      </c>
      <c r="B15" s="7" t="n">
        <f aca="false">Hub!C26</f>
        <v>74</v>
      </c>
      <c r="C15" s="7" t="n">
        <f aca="false">Hub!D26</f>
        <v>222</v>
      </c>
      <c r="D15" s="7" t="n">
        <f aca="false">Hub!E26</f>
        <v>370</v>
      </c>
      <c r="E15" s="4"/>
    </row>
    <row r="16" customFormat="false" ht="15" hidden="false" customHeight="false" outlineLevel="0" collapsed="false">
      <c r="A16" s="2" t="s">
        <v>40</v>
      </c>
      <c r="B16" s="8" t="n">
        <f aca="false">Hub!C27</f>
        <v>0.04</v>
      </c>
      <c r="C16" s="8" t="n">
        <f aca="false">Hub!D27</f>
        <v>0.12</v>
      </c>
      <c r="D16" s="8" t="n">
        <f aca="false">Hub!E27</f>
        <v>0.2</v>
      </c>
      <c r="E16" s="4"/>
    </row>
    <row r="17" customFormat="false" ht="15" hidden="false" customHeight="false" outlineLevel="0" collapsed="false">
      <c r="A17" s="2" t="s">
        <v>41</v>
      </c>
      <c r="B17" s="7" t="n">
        <f aca="false">Hub!C28</f>
        <v>99.9</v>
      </c>
      <c r="C17" s="7" t="n">
        <f aca="false">Hub!D28</f>
        <v>299.7</v>
      </c>
      <c r="D17" s="7" t="n">
        <f aca="false">Hub!E28</f>
        <v>499.5</v>
      </c>
      <c r="E17" s="4"/>
    </row>
    <row r="18" customFormat="false" ht="15" hidden="false" customHeight="false" outlineLevel="0" collapsed="false">
      <c r="A18" s="2" t="s">
        <v>42</v>
      </c>
      <c r="B18" s="9" t="n">
        <f aca="false">Hub!C29</f>
        <v>0.232</v>
      </c>
      <c r="C18" s="9" t="n">
        <f aca="false">Hub!D29</f>
        <v>1.416</v>
      </c>
      <c r="D18" s="9" t="n">
        <f aca="false">Hub!E29</f>
        <v>2.6</v>
      </c>
      <c r="E18" s="4"/>
    </row>
    <row r="19" customFormat="false" ht="15" hidden="false" customHeight="false" outlineLevel="0" collapsed="false">
      <c r="A19" s="2" t="s">
        <v>43</v>
      </c>
      <c r="B19" s="7" t="n">
        <f aca="false">Hub!C31</f>
        <v>317.142857142857</v>
      </c>
      <c r="C19" s="7" t="n">
        <f aca="false">Hub!D31</f>
        <v>951.428571428571</v>
      </c>
      <c r="D19" s="7" t="n">
        <f aca="false">Hub!E31</f>
        <v>1585.71428571429</v>
      </c>
      <c r="E19" s="4"/>
    </row>
    <row r="20" customFormat="false" ht="15" hidden="false" customHeight="false" outlineLevel="0" collapsed="false">
      <c r="A20" s="2" t="s">
        <v>44</v>
      </c>
      <c r="B20" s="7" t="n">
        <f aca="false">Hub!C32</f>
        <v>0</v>
      </c>
      <c r="C20" s="7" t="n">
        <f aca="false">Hub!D32</f>
        <v>155.4</v>
      </c>
      <c r="D20" s="7" t="n">
        <f aca="false">Hub!E32</f>
        <v>310.8</v>
      </c>
      <c r="E20" s="4"/>
    </row>
    <row r="21" customFormat="false" ht="15" hidden="false" customHeight="false" outlineLevel="0" collapsed="false">
      <c r="A21" s="2" t="s">
        <v>45</v>
      </c>
      <c r="B21" s="10" t="n">
        <f aca="false">Hub!C34</f>
        <v>0</v>
      </c>
      <c r="C21" s="10" t="n">
        <f aca="false">Hub!D34</f>
        <v>29.3481127058823</v>
      </c>
      <c r="D21" s="10" t="n">
        <f aca="false">Hub!E34</f>
        <v>58.6962254117647</v>
      </c>
      <c r="E21" s="4"/>
    </row>
    <row r="22" customFormat="false" ht="15" hidden="false" customHeight="false" outlineLevel="0" collapsed="false">
      <c r="A22" s="2" t="s">
        <v>46</v>
      </c>
      <c r="B22" s="8" t="n">
        <f aca="false">Hub!C35</f>
        <v>0</v>
      </c>
      <c r="C22" s="8" t="n">
        <f aca="false">Hub!D35</f>
        <v>0.0979249673202614</v>
      </c>
      <c r="D22" s="8" t="n">
        <f aca="false">Hub!E35</f>
        <v>0.117509960784314</v>
      </c>
      <c r="E22" s="4"/>
    </row>
    <row r="23" customFormat="false" ht="15" hidden="false" customHeight="false" outlineLevel="0" collapsed="false">
      <c r="A23" s="2" t="s">
        <v>47</v>
      </c>
      <c r="B23" s="11" t="n">
        <f aca="false">Hub!C36</f>
        <v>0.680652</v>
      </c>
      <c r="C23" s="11" t="n">
        <f aca="false">Hub!D36</f>
        <v>2.041956</v>
      </c>
      <c r="D23" s="11" t="n">
        <f aca="false">Hub!E36</f>
        <v>3.40326</v>
      </c>
      <c r="E23" s="4"/>
    </row>
    <row r="25" customFormat="false" ht="15" hidden="false" customHeight="false" outlineLevel="0" collapsed="false">
      <c r="A25" s="5" t="s">
        <v>48</v>
      </c>
      <c r="B25" s="6" t="s">
        <v>36</v>
      </c>
      <c r="C25" s="6" t="s">
        <v>37</v>
      </c>
      <c r="D25" s="6" t="s">
        <v>38</v>
      </c>
    </row>
    <row r="26" customFormat="false" ht="15" hidden="false" customHeight="false" outlineLevel="0" collapsed="false">
      <c r="A26" s="2" t="s">
        <v>49</v>
      </c>
      <c r="B26" s="8" t="n">
        <f aca="false">Matrix!C16</f>
        <v>-0.189364988239889</v>
      </c>
      <c r="C26" s="8" t="n">
        <f aca="false">Matrix!D16</f>
        <v>-0.22459550655144</v>
      </c>
      <c r="D26" s="8" t="n">
        <f aca="false">Matrix!E16</f>
        <v>-0.256891304446152</v>
      </c>
      <c r="E26" s="4"/>
    </row>
    <row r="27" customFormat="false" ht="15" hidden="false" customHeight="false" outlineLevel="0" collapsed="false">
      <c r="A27" s="2" t="s">
        <v>50</v>
      </c>
      <c r="B27" s="8" t="n">
        <f aca="false">Matrix!C17</f>
        <v>-0.0277995984755657</v>
      </c>
      <c r="C27" s="8" t="n">
        <f aca="false">Matrix!D17</f>
        <v>-0.0723715226112875</v>
      </c>
      <c r="D27" s="8" t="n">
        <f aca="false">Matrix!E17</f>
        <v>-0.113035676303177</v>
      </c>
      <c r="E27" s="4"/>
    </row>
    <row r="28" customFormat="false" ht="15" hidden="false" customHeight="false" outlineLevel="0" collapsed="false">
      <c r="A28" s="2" t="s">
        <v>51</v>
      </c>
      <c r="B28" s="8" t="n">
        <f aca="false">Matrix!C18</f>
        <v>0.253836597846778</v>
      </c>
      <c r="C28" s="8" t="n">
        <f aca="false">Matrix!D18</f>
        <v>0.19315920115212</v>
      </c>
      <c r="D28" s="8" t="n">
        <f aca="false">Matrix!E18</f>
        <v>0.138083489163642</v>
      </c>
      <c r="E28" s="4"/>
    </row>
    <row r="30" customFormat="false" ht="15" hidden="false" customHeight="false" outlineLevel="0" collapsed="false">
      <c r="A30" s="5" t="s">
        <v>52</v>
      </c>
      <c r="B30" s="6" t="s">
        <v>36</v>
      </c>
      <c r="C30" s="6" t="s">
        <v>37</v>
      </c>
      <c r="D30" s="6" t="s">
        <v>38</v>
      </c>
    </row>
    <row r="31" customFormat="false" ht="15" hidden="false" customHeight="false" outlineLevel="0" collapsed="false">
      <c r="A31" s="2" t="s">
        <v>49</v>
      </c>
      <c r="B31" s="7" t="n">
        <f aca="false">Matrix!C21</f>
        <v>989.706169984001</v>
      </c>
      <c r="C31" s="7" t="n">
        <f aca="false">Matrix!D21</f>
        <v>1160.646169984</v>
      </c>
      <c r="D31" s="7" t="n">
        <f aca="false">Matrix!E21</f>
        <v>1331.586169984</v>
      </c>
      <c r="E31" s="4"/>
    </row>
    <row r="32" customFormat="false" ht="15" hidden="false" customHeight="false" outlineLevel="0" collapsed="false">
      <c r="A32" s="2" t="s">
        <v>50</v>
      </c>
      <c r="B32" s="7" t="n">
        <f aca="false">Matrix!C22</f>
        <v>413.326446018375</v>
      </c>
      <c r="C32" s="7" t="n">
        <f aca="false">Matrix!D22</f>
        <v>584.266446018375</v>
      </c>
      <c r="D32" s="7" t="n">
        <f aca="false">Matrix!E22</f>
        <v>755.206446018375</v>
      </c>
      <c r="E32" s="4"/>
    </row>
    <row r="33" customFormat="false" ht="15" hidden="false" customHeight="false" outlineLevel="0" collapsed="false">
      <c r="A33" s="2" t="s">
        <v>51</v>
      </c>
      <c r="B33" s="7" t="n">
        <f aca="false">Matrix!C23</f>
        <v>0</v>
      </c>
      <c r="C33" s="7" t="n">
        <f aca="false">Matrix!D23</f>
        <v>0</v>
      </c>
      <c r="D33" s="7" t="n">
        <f aca="false">Matrix!E23</f>
        <v>0</v>
      </c>
      <c r="E33" s="4"/>
    </row>
    <row r="35" customFormat="false" ht="15" hidden="false" customHeight="false" outlineLevel="0" collapsed="false">
      <c r="A35" s="5" t="s">
        <v>53</v>
      </c>
      <c r="B35" s="6" t="s">
        <v>36</v>
      </c>
      <c r="C35" s="6" t="s">
        <v>37</v>
      </c>
      <c r="D35" s="6" t="s">
        <v>38</v>
      </c>
    </row>
    <row r="36" customFormat="false" ht="15" hidden="false" customHeight="false" outlineLevel="0" collapsed="false">
      <c r="A36" s="2" t="s">
        <v>49</v>
      </c>
      <c r="B36" s="7" t="n">
        <f aca="false">Matrix!C26</f>
        <v>1160.719632256</v>
      </c>
      <c r="C36" s="7" t="n">
        <f aca="false">Matrix!D26</f>
        <v>1339.429632256</v>
      </c>
      <c r="D36" s="7" t="n">
        <f aca="false">Matrix!E26</f>
        <v>1518.139632256</v>
      </c>
      <c r="E36" s="4"/>
    </row>
    <row r="37" customFormat="false" ht="15" hidden="false" customHeight="false" outlineLevel="0" collapsed="false">
      <c r="A37" s="2" t="s">
        <v>50</v>
      </c>
      <c r="B37" s="7" t="n">
        <f aca="false">Matrix!C27</f>
        <v>575.035266291936</v>
      </c>
      <c r="C37" s="7" t="n">
        <f aca="false">Matrix!D27</f>
        <v>753.745266291936</v>
      </c>
      <c r="D37" s="7" t="n">
        <f aca="false">Matrix!E27</f>
        <v>932.455266291936</v>
      </c>
      <c r="E37" s="4"/>
    </row>
    <row r="38" customFormat="false" ht="15" hidden="false" customHeight="false" outlineLevel="0" collapsed="false">
      <c r="A38" s="2" t="s">
        <v>51</v>
      </c>
      <c r="B38" s="7" t="n">
        <f aca="false">Matrix!C28</f>
        <v>0</v>
      </c>
      <c r="C38" s="7" t="n">
        <f aca="false">Matrix!D28</f>
        <v>0</v>
      </c>
      <c r="D38" s="7" t="n">
        <f aca="false">Matrix!E28</f>
        <v>40.1179193750004</v>
      </c>
      <c r="E38" s="4"/>
    </row>
    <row r="40" customFormat="false" ht="15" hidden="false" customHeight="false" outlineLevel="0" collapsed="false">
      <c r="A40" s="5" t="s">
        <v>54</v>
      </c>
      <c r="B40" s="6" t="s">
        <v>55</v>
      </c>
      <c r="C40" s="6" t="s">
        <v>56</v>
      </c>
      <c r="D40" s="6" t="s">
        <v>57</v>
      </c>
    </row>
    <row r="41" customFormat="false" ht="15" hidden="false" customHeight="false" outlineLevel="0" collapsed="false">
      <c r="A41" s="2" t="s">
        <v>49</v>
      </c>
      <c r="B41" s="7" t="n">
        <f aca="false">Matrix!D36</f>
        <v>0</v>
      </c>
      <c r="C41" s="7" t="n">
        <f aca="false">Matrix!E36</f>
        <v>0</v>
      </c>
      <c r="D41" s="7" t="n">
        <f aca="false">Matrix!G36</f>
        <v>0</v>
      </c>
      <c r="E41" s="4"/>
    </row>
    <row r="42" customFormat="false" ht="15" hidden="false" customHeight="false" outlineLevel="0" collapsed="false">
      <c r="A42" s="2" t="s">
        <v>50</v>
      </c>
      <c r="B42" s="7" t="n">
        <f aca="false">Matrix!D37</f>
        <v>0</v>
      </c>
      <c r="C42" s="7" t="n">
        <f aca="false">Matrix!E37</f>
        <v>0</v>
      </c>
      <c r="D42" s="7" t="n">
        <f aca="false">Matrix!G37</f>
        <v>0</v>
      </c>
      <c r="E42" s="4"/>
    </row>
    <row r="43" customFormat="false" ht="15" hidden="false" customHeight="false" outlineLevel="0" collapsed="false">
      <c r="A43" s="2" t="s">
        <v>51</v>
      </c>
      <c r="B43" s="7" t="n">
        <f aca="false">Matrix!D38</f>
        <v>387.430476190476</v>
      </c>
      <c r="C43" s="7" t="n">
        <f aca="false">Matrix!E38</f>
        <v>331.254285714285</v>
      </c>
      <c r="D43" s="7" t="n">
        <f aca="false">Matrix!G38</f>
        <v>407.005382034631</v>
      </c>
      <c r="E43" s="4"/>
    </row>
    <row r="45" customFormat="false" ht="15" hidden="false" customHeight="false" outlineLevel="0" collapsed="false">
      <c r="A45" s="5" t="s">
        <v>58</v>
      </c>
      <c r="B45" s="6" t="s">
        <v>23</v>
      </c>
      <c r="C45" s="6" t="s">
        <v>24</v>
      </c>
      <c r="D45" s="6" t="s">
        <v>25</v>
      </c>
    </row>
    <row r="46" customFormat="false" ht="15" hidden="false" customHeight="false" outlineLevel="0" collapsed="false">
      <c r="A46" s="2" t="s">
        <v>59</v>
      </c>
      <c r="B46" s="12" t="n">
        <f aca="false">UnitEconomics!C5</f>
        <v>110</v>
      </c>
      <c r="C46" s="12" t="n">
        <f aca="false">UnitEconomics!D5</f>
        <v>150</v>
      </c>
      <c r="D46" s="12" t="n">
        <f aca="false">UnitEconomics!E5</f>
        <v>200</v>
      </c>
      <c r="E46" s="4"/>
    </row>
    <row r="47" customFormat="false" ht="15" hidden="false" customHeight="false" outlineLevel="0" collapsed="false">
      <c r="A47" s="2" t="s">
        <v>60</v>
      </c>
      <c r="B47" s="12" t="n">
        <f aca="false">UnitEconomics!C6</f>
        <v>112.42</v>
      </c>
      <c r="C47" s="12" t="n">
        <f aca="false">UnitEconomics!D6</f>
        <v>91.98</v>
      </c>
      <c r="D47" s="12" t="n">
        <f aca="false">UnitEconomics!E6</f>
        <v>66.43</v>
      </c>
      <c r="E47" s="4"/>
    </row>
    <row r="48" customFormat="false" ht="15" hidden="false" customHeight="false" outlineLevel="0" collapsed="false">
      <c r="A48" s="2" t="s">
        <v>61</v>
      </c>
      <c r="B48" s="12" t="n">
        <f aca="false">UnitEconomics!C7</f>
        <v>22.0331176470588</v>
      </c>
      <c r="C48" s="12" t="n">
        <f aca="false">UnitEconomics!D7</f>
        <v>22.0331176470588</v>
      </c>
      <c r="D48" s="12" t="n">
        <f aca="false">UnitEconomics!E7</f>
        <v>22.0331176470588</v>
      </c>
      <c r="E48" s="4"/>
    </row>
    <row r="49" customFormat="false" ht="15" hidden="false" customHeight="false" outlineLevel="0" collapsed="false">
      <c r="A49" s="2" t="s">
        <v>62</v>
      </c>
      <c r="B49" s="12" t="n">
        <f aca="false">UnitEconomics!C8</f>
        <v>244.453117647059</v>
      </c>
      <c r="C49" s="12" t="n">
        <f aca="false">UnitEconomics!D8</f>
        <v>264.013117647059</v>
      </c>
      <c r="D49" s="12" t="n">
        <f aca="false">UnitEconomics!E8</f>
        <v>288.463117647059</v>
      </c>
      <c r="E49" s="4"/>
    </row>
    <row r="50" customFormat="false" ht="15" hidden="false" customHeight="false" outlineLevel="0" collapsed="false">
      <c r="A50" s="2" t="s">
        <v>63</v>
      </c>
      <c r="B50" s="8" t="n">
        <f aca="false">UnitEconomics!C9</f>
        <v>0.550015966011046</v>
      </c>
      <c r="C50" s="8" t="n">
        <f aca="false">UnitEconomics!D9</f>
        <v>0.431846412266057</v>
      </c>
      <c r="D50" s="8" t="n">
        <f aca="false">UnitEconomics!E9</f>
        <v>0.306670462306018</v>
      </c>
      <c r="E50" s="4"/>
    </row>
    <row r="51" customFormat="false" ht="15" hidden="false" customHeight="false" outlineLevel="0" collapsed="false">
      <c r="A51" s="2" t="s">
        <v>64</v>
      </c>
      <c r="B51" s="12" t="n">
        <f aca="false">UnitEconomics!C10</f>
        <v>45.99</v>
      </c>
      <c r="C51" s="12" t="n">
        <f aca="false">UnitEconomics!D10</f>
        <v>25.55</v>
      </c>
      <c r="D51" s="12" t="n">
        <f aca="false">UnitEconomics!E10</f>
        <v>0</v>
      </c>
      <c r="E51" s="4"/>
    </row>
    <row r="52" customFormat="false" ht="15" hidden="false" customHeight="false" outlineLevel="0" collapsed="false">
      <c r="A52" s="2" t="s">
        <v>65</v>
      </c>
      <c r="B52" s="8" t="n">
        <f aca="false">UnitEconomics!C11</f>
        <v>0.188134233846837</v>
      </c>
      <c r="C52" s="8" t="n">
        <f aca="false">UnitEconomics!D11</f>
        <v>0.0967754944440149</v>
      </c>
      <c r="D52" s="8" t="n">
        <f aca="false">UnitEconomics!E11</f>
        <v>0</v>
      </c>
      <c r="E52" s="4"/>
    </row>
    <row r="54" customFormat="false" ht="15" hidden="false" customHeight="false" outlineLevel="0" collapsed="false">
      <c r="A54" s="5" t="s">
        <v>66</v>
      </c>
      <c r="B54" s="6" t="s">
        <v>67</v>
      </c>
      <c r="C54" s="6"/>
      <c r="D54" s="6"/>
    </row>
    <row r="55" customFormat="false" ht="15" hidden="false" customHeight="false" outlineLevel="0" collapsed="false">
      <c r="A55" s="2" t="s">
        <v>68</v>
      </c>
      <c r="B55" s="10" t="n">
        <f aca="false">UnitEconomics!C36</f>
        <v>-15.8372925014825</v>
      </c>
      <c r="E55" s="4"/>
    </row>
    <row r="56" customFormat="false" ht="15" hidden="false" customHeight="false" outlineLevel="0" collapsed="false">
      <c r="A56" s="2" t="s">
        <v>69</v>
      </c>
      <c r="B56" s="8" t="n">
        <f aca="false">UnitEconomics!C37</f>
        <v>0.0913616266517157</v>
      </c>
      <c r="E56" s="4"/>
    </row>
    <row r="57" customFormat="false" ht="15" hidden="false" customHeight="false" outlineLevel="0" collapsed="false">
      <c r="A57" s="2" t="s">
        <v>70</v>
      </c>
      <c r="B57" s="12" t="n">
        <f aca="false">UnitEconomics!C42</f>
        <v>156.018891832039</v>
      </c>
      <c r="E57" s="4"/>
    </row>
    <row r="58" customFormat="false" ht="15" hidden="false" customHeight="false" outlineLevel="0" collapsed="false">
      <c r="A58" s="2" t="s">
        <v>71</v>
      </c>
      <c r="B58" s="8" t="n">
        <f aca="false">UnitEconomics!C44</f>
        <v>0.11625</v>
      </c>
      <c r="E58" s="4"/>
    </row>
    <row r="60" customFormat="false" ht="15" hidden="false" customHeight="false" outlineLevel="0" collapsed="false">
      <c r="A60" s="5" t="s">
        <v>72</v>
      </c>
      <c r="B60" s="6" t="s">
        <v>67</v>
      </c>
      <c r="C60" s="6"/>
      <c r="D60" s="6"/>
    </row>
    <row r="61" customFormat="false" ht="15" hidden="false" customHeight="false" outlineLevel="0" collapsed="false">
      <c r="A61" s="2" t="s">
        <v>73</v>
      </c>
      <c r="B61" s="7" t="n">
        <f aca="false">Levers!C10</f>
        <v>805.4</v>
      </c>
      <c r="E61" s="4"/>
    </row>
    <row r="62" customFormat="false" ht="15" hidden="false" customHeight="false" outlineLevel="0" collapsed="false">
      <c r="A62" s="2" t="s">
        <v>74</v>
      </c>
      <c r="B62" s="7" t="n">
        <f aca="false">Levers!C13</f>
        <v>584.266446018375</v>
      </c>
      <c r="E62" s="4"/>
    </row>
    <row r="63" customFormat="false" ht="15" hidden="false" customHeight="false" outlineLevel="0" collapsed="false">
      <c r="A63" s="2" t="s">
        <v>75</v>
      </c>
      <c r="B63" s="7" t="n">
        <f aca="false">Levers!C14</f>
        <v>753.745266291936</v>
      </c>
      <c r="E63" s="4"/>
    </row>
    <row r="64" customFormat="false" ht="15" hidden="false" customHeight="false" outlineLevel="0" collapsed="false">
      <c r="A64" s="2" t="s">
        <v>76</v>
      </c>
      <c r="B64" s="13" t="n">
        <f aca="false">Levers!C16</f>
        <v>1.06853075703172</v>
      </c>
      <c r="E64" s="4"/>
    </row>
    <row r="65" customFormat="false" ht="15" hidden="false" customHeight="false" outlineLevel="0" collapsed="false">
      <c r="A65" s="2" t="s">
        <v>77</v>
      </c>
      <c r="B65" s="10" t="n">
        <f aca="false">Levers!G10</f>
        <v>287.130436235294</v>
      </c>
      <c r="E65" s="4"/>
    </row>
    <row r="66" customFormat="false" ht="15" hidden="false" customHeight="false" outlineLevel="0" collapsed="false">
      <c r="A66" s="2" t="s">
        <v>78</v>
      </c>
      <c r="B66" s="8" t="n">
        <f aca="false">Levers!C17</f>
        <v>0.165239288786848</v>
      </c>
      <c r="E66" s="4"/>
    </row>
    <row r="67" customFormat="false" ht="15" hidden="false" customHeight="false" outlineLevel="0" collapsed="false">
      <c r="A67" s="2" t="s">
        <v>79</v>
      </c>
      <c r="B67" s="8" t="n">
        <f aca="false">Levers!C18</f>
        <v>0.192947603675192</v>
      </c>
      <c r="E67" s="4"/>
    </row>
    <row r="68" customFormat="false" ht="15" hidden="false" customHeight="false" outlineLevel="0" collapsed="false">
      <c r="A68" s="2" t="s">
        <v>80</v>
      </c>
      <c r="B68" s="8" t="n">
        <f aca="false">Levers!C19</f>
        <v>0.20617044902251</v>
      </c>
      <c r="E68"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2"/>
    <col collapsed="false" customWidth="true" hidden="false" outlineLevel="0" max="3" min="3" style="0" width="14"/>
    <col collapsed="false" customWidth="true" hidden="false" outlineLevel="0" max="6" min="4" style="0" width="12"/>
    <col collapsed="false" customWidth="true" hidden="false" outlineLevel="0" max="7" min="7" style="0" width="7"/>
    <col collapsed="false" customWidth="true" hidden="false" outlineLevel="0" max="8" min="8" style="0" width="110"/>
  </cols>
  <sheetData>
    <row r="1" customFormat="false" ht="17.35" hidden="false" customHeight="false" outlineLevel="0" collapsed="false">
      <c r="A1" s="1" t="s">
        <v>81</v>
      </c>
    </row>
    <row r="2" customFormat="false" ht="15" hidden="false" customHeight="false" outlineLevel="0" collapsed="false">
      <c r="A2" s="4" t="s">
        <v>82</v>
      </c>
    </row>
    <row r="4" customFormat="false" ht="15" hidden="false" customHeight="false" outlineLevel="0" collapsed="false">
      <c r="A4" s="5" t="s">
        <v>83</v>
      </c>
      <c r="B4" s="6" t="s">
        <v>84</v>
      </c>
      <c r="C4" s="6" t="s">
        <v>85</v>
      </c>
      <c r="D4" s="6" t="s">
        <v>23</v>
      </c>
      <c r="E4" s="6" t="s">
        <v>24</v>
      </c>
      <c r="F4" s="6" t="s">
        <v>25</v>
      </c>
      <c r="G4" s="6" t="s">
        <v>86</v>
      </c>
      <c r="H4" s="6" t="s">
        <v>87</v>
      </c>
    </row>
    <row r="5" customFormat="false" ht="15" hidden="false" customHeight="false" outlineLevel="0" collapsed="false">
      <c r="A5" s="14" t="s">
        <v>88</v>
      </c>
      <c r="B5" s="15"/>
      <c r="C5" s="15"/>
      <c r="D5" s="16" t="s">
        <v>23</v>
      </c>
      <c r="E5" s="16" t="s">
        <v>24</v>
      </c>
      <c r="F5" s="16" t="s">
        <v>25</v>
      </c>
      <c r="G5" s="15"/>
      <c r="H5" s="15"/>
    </row>
    <row r="6" customFormat="false" ht="15" hidden="false" customHeight="false" outlineLevel="0" collapsed="false">
      <c r="A6" s="4" t="s">
        <v>89</v>
      </c>
      <c r="B6" s="2" t="s">
        <v>90</v>
      </c>
      <c r="C6" s="2" t="s">
        <v>91</v>
      </c>
      <c r="D6" s="17" t="n">
        <f aca="false">E6</f>
        <v>2514</v>
      </c>
      <c r="E6" s="18" t="n">
        <v>2514</v>
      </c>
      <c r="F6" s="17" t="n">
        <f aca="false">E6</f>
        <v>2514</v>
      </c>
      <c r="G6" s="19" t="s">
        <v>92</v>
      </c>
      <c r="H6" s="20" t="s">
        <v>93</v>
      </c>
    </row>
    <row r="7" customFormat="false" ht="23.85" hidden="false" customHeight="false" outlineLevel="0" collapsed="false">
      <c r="A7" s="4" t="s">
        <v>94</v>
      </c>
      <c r="B7" s="2" t="s">
        <v>95</v>
      </c>
      <c r="C7" s="2" t="s">
        <v>96</v>
      </c>
      <c r="D7" s="21" t="n">
        <v>-0.015</v>
      </c>
      <c r="E7" s="21" t="n">
        <v>0.0334</v>
      </c>
      <c r="F7" s="21" t="n">
        <v>0.2073</v>
      </c>
      <c r="G7" s="19" t="s">
        <v>92</v>
      </c>
      <c r="H7" s="20" t="s">
        <v>97</v>
      </c>
    </row>
    <row r="8" customFormat="false" ht="15" hidden="false" customHeight="false" outlineLevel="0" collapsed="false">
      <c r="A8" s="4" t="s">
        <v>98</v>
      </c>
      <c r="B8" s="2" t="s">
        <v>99</v>
      </c>
      <c r="C8" s="2" t="s">
        <v>100</v>
      </c>
      <c r="D8" s="21" t="n">
        <v>0.08</v>
      </c>
      <c r="E8" s="21" t="n">
        <v>0.065</v>
      </c>
      <c r="F8" s="21" t="n">
        <v>0.05</v>
      </c>
      <c r="G8" s="19" t="s">
        <v>101</v>
      </c>
      <c r="H8" s="20" t="s">
        <v>102</v>
      </c>
    </row>
    <row r="9" customFormat="false" ht="15" hidden="false" customHeight="false" outlineLevel="0" collapsed="false">
      <c r="A9" s="14" t="s">
        <v>103</v>
      </c>
      <c r="B9" s="15"/>
      <c r="C9" s="15"/>
      <c r="D9" s="16" t="s">
        <v>23</v>
      </c>
      <c r="E9" s="16" t="s">
        <v>24</v>
      </c>
      <c r="F9" s="16" t="s">
        <v>25</v>
      </c>
      <c r="G9" s="15"/>
      <c r="H9" s="15"/>
    </row>
    <row r="10" customFormat="false" ht="15" hidden="false" customHeight="false" outlineLevel="0" collapsed="false">
      <c r="A10" s="4" t="s">
        <v>104</v>
      </c>
      <c r="B10" s="2" t="s">
        <v>105</v>
      </c>
      <c r="C10" s="2" t="s">
        <v>91</v>
      </c>
      <c r="D10" s="18" t="n">
        <v>100</v>
      </c>
      <c r="E10" s="18" t="n">
        <v>200</v>
      </c>
      <c r="F10" s="18" t="n">
        <v>200</v>
      </c>
      <c r="G10" s="19" t="s">
        <v>101</v>
      </c>
      <c r="H10" s="20" t="s">
        <v>106</v>
      </c>
    </row>
    <row r="11" customFormat="false" ht="15" hidden="false" customHeight="false" outlineLevel="0" collapsed="false">
      <c r="A11" s="4" t="s">
        <v>107</v>
      </c>
      <c r="B11" s="2" t="s">
        <v>108</v>
      </c>
      <c r="C11" s="2" t="s">
        <v>109</v>
      </c>
      <c r="D11" s="22" t="n">
        <v>2028</v>
      </c>
      <c r="E11" s="22" t="n">
        <v>2027</v>
      </c>
      <c r="F11" s="22" t="n">
        <v>2027</v>
      </c>
      <c r="G11" s="19" t="s">
        <v>110</v>
      </c>
      <c r="H11" s="20" t="s">
        <v>111</v>
      </c>
    </row>
    <row r="12" customFormat="false" ht="15" hidden="false" customHeight="false" outlineLevel="0" collapsed="false">
      <c r="A12" s="4" t="s">
        <v>112</v>
      </c>
      <c r="B12" s="2" t="s">
        <v>113</v>
      </c>
      <c r="C12" s="2" t="s">
        <v>91</v>
      </c>
      <c r="D12" s="17" t="n">
        <f aca="false">E12</f>
        <v>16</v>
      </c>
      <c r="E12" s="18" t="n">
        <v>16</v>
      </c>
      <c r="F12" s="17" t="n">
        <f aca="false">E12</f>
        <v>16</v>
      </c>
      <c r="G12" s="19" t="s">
        <v>92</v>
      </c>
      <c r="H12" s="20" t="s">
        <v>114</v>
      </c>
    </row>
    <row r="13" customFormat="false" ht="15" hidden="false" customHeight="false" outlineLevel="0" collapsed="false">
      <c r="A13" s="4" t="s">
        <v>115</v>
      </c>
      <c r="B13" s="2" t="s">
        <v>116</v>
      </c>
      <c r="C13" s="2" t="s">
        <v>109</v>
      </c>
      <c r="D13" s="22" t="n">
        <v>2028</v>
      </c>
      <c r="E13" s="22" t="n">
        <v>2027</v>
      </c>
      <c r="F13" s="22" t="n">
        <v>2027</v>
      </c>
      <c r="G13" s="19" t="s">
        <v>110</v>
      </c>
      <c r="H13" s="20" t="s">
        <v>117</v>
      </c>
    </row>
    <row r="14" customFormat="false" ht="15" hidden="false" customHeight="false" outlineLevel="0" collapsed="false">
      <c r="A14" s="4" t="s">
        <v>118</v>
      </c>
      <c r="B14" s="2" t="s">
        <v>119</v>
      </c>
      <c r="C14" s="2" t="s">
        <v>91</v>
      </c>
      <c r="D14" s="17" t="n">
        <f aca="false">E14</f>
        <v>100</v>
      </c>
      <c r="E14" s="18" t="n">
        <v>100</v>
      </c>
      <c r="F14" s="17" t="n">
        <f aca="false">E14</f>
        <v>100</v>
      </c>
      <c r="G14" s="19" t="s">
        <v>92</v>
      </c>
      <c r="H14" s="20" t="s">
        <v>120</v>
      </c>
    </row>
    <row r="15" customFormat="false" ht="15" hidden="false" customHeight="false" outlineLevel="0" collapsed="false">
      <c r="A15" s="4" t="s">
        <v>121</v>
      </c>
      <c r="B15" s="2" t="s">
        <v>122</v>
      </c>
      <c r="C15" s="2" t="s">
        <v>109</v>
      </c>
      <c r="D15" s="22" t="n">
        <v>2028</v>
      </c>
      <c r="E15" s="22" t="n">
        <v>2027</v>
      </c>
      <c r="F15" s="22" t="n">
        <v>2027</v>
      </c>
      <c r="G15" s="19" t="s">
        <v>101</v>
      </c>
      <c r="H15" s="20" t="s">
        <v>123</v>
      </c>
    </row>
    <row r="16" customFormat="false" ht="15" hidden="false" customHeight="false" outlineLevel="0" collapsed="false">
      <c r="A16" s="4" t="s">
        <v>124</v>
      </c>
      <c r="B16" s="2" t="s">
        <v>125</v>
      </c>
      <c r="C16" s="2" t="s">
        <v>91</v>
      </c>
      <c r="D16" s="18" t="n">
        <v>0</v>
      </c>
      <c r="E16" s="18" t="n">
        <v>0</v>
      </c>
      <c r="F16" s="18" t="n">
        <v>100</v>
      </c>
      <c r="G16" s="19" t="s">
        <v>110</v>
      </c>
      <c r="H16" s="20" t="s">
        <v>126</v>
      </c>
    </row>
    <row r="17" customFormat="false" ht="15" hidden="false" customHeight="false" outlineLevel="0" collapsed="false">
      <c r="A17" s="4" t="s">
        <v>127</v>
      </c>
      <c r="B17" s="2" t="s">
        <v>128</v>
      </c>
      <c r="C17" s="2" t="s">
        <v>109</v>
      </c>
      <c r="D17" s="23" t="n">
        <f aca="false">E17</f>
        <v>2029</v>
      </c>
      <c r="E17" s="22" t="n">
        <v>2029</v>
      </c>
      <c r="F17" s="23" t="n">
        <f aca="false">E17</f>
        <v>2029</v>
      </c>
      <c r="G17" s="19" t="s">
        <v>110</v>
      </c>
      <c r="H17" s="20" t="s">
        <v>129</v>
      </c>
    </row>
    <row r="18" customFormat="false" ht="15" hidden="false" customHeight="false" outlineLevel="0" collapsed="false">
      <c r="A18" s="4" t="s">
        <v>130</v>
      </c>
      <c r="B18" s="2" t="s">
        <v>131</v>
      </c>
      <c r="C18" s="2" t="s">
        <v>91</v>
      </c>
      <c r="D18" s="24" t="n">
        <f aca="false">E18</f>
        <v>80.3</v>
      </c>
      <c r="E18" s="25" t="n">
        <v>80.3</v>
      </c>
      <c r="F18" s="24" t="n">
        <f aca="false">E18</f>
        <v>80.3</v>
      </c>
      <c r="G18" s="19" t="s">
        <v>92</v>
      </c>
      <c r="H18" s="20" t="s">
        <v>132</v>
      </c>
    </row>
    <row r="19" customFormat="false" ht="15" hidden="false" customHeight="false" outlineLevel="0" collapsed="false">
      <c r="A19" s="4" t="s">
        <v>133</v>
      </c>
      <c r="B19" s="2" t="s">
        <v>134</v>
      </c>
      <c r="C19" s="2" t="s">
        <v>109</v>
      </c>
      <c r="D19" s="22" t="n">
        <v>2030</v>
      </c>
      <c r="E19" s="22" t="n">
        <v>2029</v>
      </c>
      <c r="F19" s="22" t="n">
        <v>2028</v>
      </c>
      <c r="G19" s="19" t="s">
        <v>110</v>
      </c>
      <c r="H19" s="20" t="s">
        <v>135</v>
      </c>
    </row>
    <row r="20" customFormat="false" ht="15" hidden="false" customHeight="false" outlineLevel="0" collapsed="false">
      <c r="A20" s="4" t="s">
        <v>136</v>
      </c>
      <c r="B20" s="2" t="s">
        <v>137</v>
      </c>
      <c r="C20" s="2" t="s">
        <v>91</v>
      </c>
      <c r="D20" s="24" t="n">
        <f aca="false">E20</f>
        <v>42.5</v>
      </c>
      <c r="E20" s="25" t="n">
        <v>42.5</v>
      </c>
      <c r="F20" s="24" t="n">
        <f aca="false">E20</f>
        <v>42.5</v>
      </c>
      <c r="G20" s="19" t="s">
        <v>92</v>
      </c>
      <c r="H20" s="20" t="s">
        <v>138</v>
      </c>
    </row>
    <row r="21" customFormat="false" ht="15" hidden="false" customHeight="false" outlineLevel="0" collapsed="false">
      <c r="A21" s="4" t="s">
        <v>139</v>
      </c>
      <c r="B21" s="2" t="s">
        <v>140</v>
      </c>
      <c r="C21" s="2" t="s">
        <v>96</v>
      </c>
      <c r="D21" s="26" t="n">
        <f aca="false">E21</f>
        <v>0</v>
      </c>
      <c r="E21" s="27" t="n">
        <v>0</v>
      </c>
      <c r="F21" s="26" t="n">
        <f aca="false">E21</f>
        <v>0</v>
      </c>
      <c r="G21" s="19" t="s">
        <v>110</v>
      </c>
      <c r="H21" s="20" t="s">
        <v>141</v>
      </c>
    </row>
    <row r="22" customFormat="false" ht="15" hidden="false" customHeight="false" outlineLevel="0" collapsed="false">
      <c r="A22" s="4" t="s">
        <v>142</v>
      </c>
      <c r="B22" s="2" t="s">
        <v>143</v>
      </c>
      <c r="C22" s="2" t="s">
        <v>109</v>
      </c>
      <c r="D22" s="23" t="n">
        <f aca="false">E22</f>
        <v>2028</v>
      </c>
      <c r="E22" s="22" t="n">
        <v>2028</v>
      </c>
      <c r="F22" s="23" t="n">
        <f aca="false">E22</f>
        <v>2028</v>
      </c>
      <c r="G22" s="19" t="s">
        <v>110</v>
      </c>
      <c r="H22" s="20" t="s">
        <v>144</v>
      </c>
    </row>
    <row r="23" customFormat="false" ht="23.85" hidden="false" customHeight="false" outlineLevel="0" collapsed="false">
      <c r="A23" s="4" t="s">
        <v>145</v>
      </c>
      <c r="B23" s="2" t="s">
        <v>146</v>
      </c>
      <c r="C23" s="2" t="s">
        <v>147</v>
      </c>
      <c r="D23" s="28" t="n">
        <v>0</v>
      </c>
      <c r="E23" s="28" t="n">
        <v>150</v>
      </c>
      <c r="F23" s="28" t="n">
        <v>300</v>
      </c>
      <c r="G23" s="19" t="s">
        <v>110</v>
      </c>
      <c r="H23" s="20" t="s">
        <v>148</v>
      </c>
    </row>
    <row r="24" customFormat="false" ht="15" hidden="false" customHeight="false" outlineLevel="0" collapsed="false">
      <c r="A24" s="4" t="s">
        <v>149</v>
      </c>
      <c r="B24" s="2" t="s">
        <v>150</v>
      </c>
      <c r="C24" s="2" t="s">
        <v>109</v>
      </c>
      <c r="D24" s="23" t="n">
        <f aca="false">E24</f>
        <v>2030</v>
      </c>
      <c r="E24" s="22" t="n">
        <v>2030</v>
      </c>
      <c r="F24" s="23" t="n">
        <f aca="false">E24</f>
        <v>2030</v>
      </c>
      <c r="G24" s="19" t="s">
        <v>101</v>
      </c>
      <c r="H24" s="20" t="s">
        <v>151</v>
      </c>
    </row>
    <row r="25" customFormat="false" ht="15" hidden="false" customHeight="false" outlineLevel="0" collapsed="false">
      <c r="A25" s="14" t="s">
        <v>152</v>
      </c>
      <c r="B25" s="15"/>
      <c r="C25" s="15"/>
      <c r="D25" s="16" t="s">
        <v>36</v>
      </c>
      <c r="E25" s="16" t="s">
        <v>37</v>
      </c>
      <c r="F25" s="16" t="s">
        <v>38</v>
      </c>
      <c r="G25" s="15"/>
      <c r="H25" s="15"/>
    </row>
    <row r="26" customFormat="false" ht="15" hidden="false" customHeight="false" outlineLevel="0" collapsed="false">
      <c r="A26" s="4" t="s">
        <v>153</v>
      </c>
      <c r="B26" s="2" t="s">
        <v>154</v>
      </c>
      <c r="C26" s="2" t="s">
        <v>91</v>
      </c>
      <c r="D26" s="17" t="n">
        <f aca="false">E26</f>
        <v>1850</v>
      </c>
      <c r="E26" s="18" t="n">
        <v>1850</v>
      </c>
      <c r="F26" s="17" t="n">
        <f aca="false">E26</f>
        <v>1850</v>
      </c>
      <c r="G26" s="19" t="s">
        <v>92</v>
      </c>
      <c r="H26" s="20" t="s">
        <v>155</v>
      </c>
    </row>
    <row r="27" customFormat="false" ht="23.85" hidden="false" customHeight="false" outlineLevel="0" collapsed="false">
      <c r="A27" s="4" t="s">
        <v>156</v>
      </c>
      <c r="B27" s="2" t="s">
        <v>157</v>
      </c>
      <c r="C27" s="2" t="s">
        <v>96</v>
      </c>
      <c r="D27" s="21" t="n">
        <v>0.04</v>
      </c>
      <c r="E27" s="21" t="n">
        <v>0.12</v>
      </c>
      <c r="F27" s="21" t="n">
        <v>0.2</v>
      </c>
      <c r="G27" s="19" t="s">
        <v>101</v>
      </c>
      <c r="H27" s="20" t="s">
        <v>158</v>
      </c>
    </row>
    <row r="28" customFormat="false" ht="15" hidden="false" customHeight="false" outlineLevel="0" collapsed="false">
      <c r="A28" s="4" t="s">
        <v>159</v>
      </c>
      <c r="B28" s="2" t="s">
        <v>160</v>
      </c>
      <c r="C28" s="2" t="s">
        <v>91</v>
      </c>
      <c r="D28" s="17" t="n">
        <f aca="false">E28</f>
        <v>45</v>
      </c>
      <c r="E28" s="18" t="n">
        <v>45</v>
      </c>
      <c r="F28" s="17" t="n">
        <f aca="false">E28</f>
        <v>45</v>
      </c>
      <c r="G28" s="19" t="s">
        <v>92</v>
      </c>
      <c r="H28" s="20" t="s">
        <v>161</v>
      </c>
    </row>
    <row r="29" customFormat="false" ht="15" hidden="false" customHeight="false" outlineLevel="0" collapsed="false">
      <c r="A29" s="4" t="s">
        <v>162</v>
      </c>
      <c r="B29" s="2" t="s">
        <v>163</v>
      </c>
      <c r="C29" s="2" t="s">
        <v>164</v>
      </c>
      <c r="D29" s="29" t="n">
        <f aca="false">E29</f>
        <v>1.4</v>
      </c>
      <c r="E29" s="30" t="n">
        <v>1.4</v>
      </c>
      <c r="F29" s="29" t="n">
        <f aca="false">E29</f>
        <v>1.4</v>
      </c>
      <c r="G29" s="19" t="s">
        <v>110</v>
      </c>
      <c r="H29" s="20" t="s">
        <v>165</v>
      </c>
    </row>
    <row r="30" customFormat="false" ht="15" hidden="false" customHeight="false" outlineLevel="0" collapsed="false">
      <c r="A30" s="4" t="s">
        <v>166</v>
      </c>
      <c r="B30" s="2" t="s">
        <v>167</v>
      </c>
      <c r="C30" s="2" t="s">
        <v>96</v>
      </c>
      <c r="D30" s="26" t="n">
        <f aca="false">E30</f>
        <v>0.75</v>
      </c>
      <c r="E30" s="27" t="n">
        <v>0.75</v>
      </c>
      <c r="F30" s="26" t="n">
        <f aca="false">E30</f>
        <v>0.75</v>
      </c>
      <c r="G30" s="19" t="s">
        <v>110</v>
      </c>
      <c r="H30" s="20" t="s">
        <v>168</v>
      </c>
    </row>
    <row r="31" customFormat="false" ht="15" hidden="false" customHeight="false" outlineLevel="0" collapsed="false">
      <c r="A31" s="14" t="s">
        <v>169</v>
      </c>
      <c r="B31" s="15"/>
      <c r="C31" s="15"/>
      <c r="D31" s="16" t="s">
        <v>23</v>
      </c>
      <c r="E31" s="16" t="s">
        <v>24</v>
      </c>
      <c r="F31" s="16" t="s">
        <v>25</v>
      </c>
      <c r="G31" s="15"/>
      <c r="H31" s="15"/>
    </row>
    <row r="32" customFormat="false" ht="23.85" hidden="false" customHeight="false" outlineLevel="0" collapsed="false">
      <c r="A32" s="4" t="s">
        <v>170</v>
      </c>
      <c r="B32" s="2" t="s">
        <v>171</v>
      </c>
      <c r="C32" s="2" t="s">
        <v>172</v>
      </c>
      <c r="D32" s="31" t="n">
        <v>110</v>
      </c>
      <c r="E32" s="31" t="n">
        <v>150</v>
      </c>
      <c r="F32" s="31" t="n">
        <v>200</v>
      </c>
      <c r="G32" s="19" t="s">
        <v>110</v>
      </c>
      <c r="H32" s="20" t="s">
        <v>173</v>
      </c>
    </row>
    <row r="33" customFormat="false" ht="15" hidden="false" customHeight="false" outlineLevel="0" collapsed="false">
      <c r="A33" s="4" t="s">
        <v>174</v>
      </c>
      <c r="B33" s="2" t="s">
        <v>175</v>
      </c>
      <c r="C33" s="2" t="s">
        <v>176</v>
      </c>
      <c r="D33" s="32" t="n">
        <v>11.3</v>
      </c>
      <c r="E33" s="32" t="n">
        <v>8</v>
      </c>
      <c r="F33" s="32" t="n">
        <v>7</v>
      </c>
      <c r="G33" s="19" t="s">
        <v>92</v>
      </c>
      <c r="H33" s="20" t="s">
        <v>177</v>
      </c>
    </row>
    <row r="34" customFormat="false" ht="15" hidden="false" customHeight="false" outlineLevel="0" collapsed="false">
      <c r="A34" s="4" t="s">
        <v>178</v>
      </c>
      <c r="B34" s="2" t="s">
        <v>179</v>
      </c>
      <c r="C34" s="2" t="s">
        <v>180</v>
      </c>
      <c r="D34" s="17" t="n">
        <f aca="false">E34</f>
        <v>35</v>
      </c>
      <c r="E34" s="18" t="n">
        <v>35</v>
      </c>
      <c r="F34" s="17" t="n">
        <f aca="false">E34</f>
        <v>35</v>
      </c>
      <c r="G34" s="19" t="s">
        <v>110</v>
      </c>
      <c r="H34" s="20" t="s">
        <v>181</v>
      </c>
    </row>
    <row r="35" customFormat="false" ht="15" hidden="false" customHeight="false" outlineLevel="0" collapsed="false">
      <c r="A35" s="4" t="s">
        <v>182</v>
      </c>
      <c r="B35" s="2" t="s">
        <v>183</v>
      </c>
      <c r="C35" s="2" t="s">
        <v>182</v>
      </c>
      <c r="D35" s="18" t="n">
        <v>100</v>
      </c>
      <c r="E35" s="18" t="n">
        <v>150</v>
      </c>
      <c r="F35" s="18" t="n">
        <v>200</v>
      </c>
      <c r="G35" s="19" t="s">
        <v>92</v>
      </c>
      <c r="H35" s="20" t="s">
        <v>184</v>
      </c>
    </row>
    <row r="36" customFormat="false" ht="23.85" hidden="false" customHeight="false" outlineLevel="0" collapsed="false">
      <c r="A36" s="4" t="s">
        <v>185</v>
      </c>
      <c r="B36" s="2" t="s">
        <v>186</v>
      </c>
      <c r="C36" s="2" t="s">
        <v>187</v>
      </c>
      <c r="D36" s="33" t="n">
        <v>0.11</v>
      </c>
      <c r="E36" s="33" t="n">
        <v>0.09</v>
      </c>
      <c r="F36" s="33" t="n">
        <v>0.065</v>
      </c>
      <c r="G36" s="19" t="s">
        <v>101</v>
      </c>
      <c r="H36" s="20" t="s">
        <v>188</v>
      </c>
    </row>
    <row r="37" customFormat="false" ht="15" hidden="false" customHeight="false" outlineLevel="0" collapsed="false">
      <c r="A37" s="4" t="s">
        <v>189</v>
      </c>
      <c r="B37" s="2" t="s">
        <v>190</v>
      </c>
      <c r="C37" s="2" t="s">
        <v>187</v>
      </c>
      <c r="D37" s="34" t="n">
        <f aca="false">E37</f>
        <v>0.065</v>
      </c>
      <c r="E37" s="35" t="n">
        <v>0.065</v>
      </c>
      <c r="F37" s="34" t="n">
        <f aca="false">E37</f>
        <v>0.065</v>
      </c>
      <c r="G37" s="19" t="s">
        <v>92</v>
      </c>
      <c r="H37" s="20" t="s">
        <v>191</v>
      </c>
    </row>
    <row r="38" customFormat="false" ht="15" hidden="false" customHeight="false" outlineLevel="0" collapsed="false">
      <c r="A38" s="4" t="s">
        <v>192</v>
      </c>
      <c r="B38" s="2" t="s">
        <v>193</v>
      </c>
      <c r="C38" s="2" t="s">
        <v>194</v>
      </c>
      <c r="D38" s="36" t="n">
        <f aca="false">E38</f>
        <v>78</v>
      </c>
      <c r="E38" s="37" t="n">
        <v>78</v>
      </c>
      <c r="F38" s="36" t="n">
        <f aca="false">E38</f>
        <v>78</v>
      </c>
      <c r="G38" s="19" t="s">
        <v>92</v>
      </c>
      <c r="H38" s="20" t="s">
        <v>195</v>
      </c>
    </row>
    <row r="39" customFormat="false" ht="15" hidden="false" customHeight="false" outlineLevel="0" collapsed="false">
      <c r="A39" s="4" t="s">
        <v>196</v>
      </c>
      <c r="B39" s="2" t="s">
        <v>197</v>
      </c>
      <c r="C39" s="2" t="s">
        <v>164</v>
      </c>
      <c r="D39" s="29" t="n">
        <f aca="false">E39</f>
        <v>1.5</v>
      </c>
      <c r="E39" s="30" t="n">
        <v>1.5</v>
      </c>
      <c r="F39" s="29" t="n">
        <f aca="false">E39</f>
        <v>1.5</v>
      </c>
      <c r="G39" s="19" t="s">
        <v>110</v>
      </c>
      <c r="H39" s="20" t="s">
        <v>198</v>
      </c>
    </row>
    <row r="40" customFormat="false" ht="15" hidden="false" customHeight="false" outlineLevel="0" collapsed="false">
      <c r="A40" s="4" t="s">
        <v>199</v>
      </c>
      <c r="B40" s="2" t="s">
        <v>200</v>
      </c>
      <c r="C40" s="2" t="s">
        <v>201</v>
      </c>
      <c r="D40" s="17" t="n">
        <f aca="false">E40</f>
        <v>4</v>
      </c>
      <c r="E40" s="18" t="n">
        <v>4</v>
      </c>
      <c r="F40" s="17" t="n">
        <f aca="false">E40</f>
        <v>4</v>
      </c>
      <c r="G40" s="19" t="s">
        <v>92</v>
      </c>
      <c r="H40" s="20" t="s">
        <v>202</v>
      </c>
    </row>
    <row r="41" customFormat="false" ht="15" hidden="false" customHeight="false" outlineLevel="0" collapsed="false">
      <c r="A41" s="4" t="s">
        <v>203</v>
      </c>
      <c r="B41" s="2" t="s">
        <v>204</v>
      </c>
      <c r="C41" s="2" t="s">
        <v>96</v>
      </c>
      <c r="D41" s="26" t="n">
        <f aca="false">E41</f>
        <v>0.85</v>
      </c>
      <c r="E41" s="27" t="n">
        <v>0.85</v>
      </c>
      <c r="F41" s="26" t="n">
        <f aca="false">E41</f>
        <v>0.85</v>
      </c>
      <c r="G41" s="19" t="s">
        <v>110</v>
      </c>
      <c r="H41" s="20" t="s">
        <v>205</v>
      </c>
    </row>
    <row r="42" customFormat="false" ht="15" hidden="false" customHeight="false" outlineLevel="0" collapsed="false">
      <c r="A42" s="4" t="s">
        <v>206</v>
      </c>
      <c r="B42" s="2" t="s">
        <v>207</v>
      </c>
      <c r="C42" s="2" t="s">
        <v>194</v>
      </c>
      <c r="D42" s="36" t="n">
        <f aca="false">E42</f>
        <v>70</v>
      </c>
      <c r="E42" s="37" t="n">
        <v>70</v>
      </c>
      <c r="F42" s="36" t="n">
        <f aca="false">E42</f>
        <v>70</v>
      </c>
      <c r="G42" s="19" t="s">
        <v>92</v>
      </c>
      <c r="H42" s="20" t="s">
        <v>208</v>
      </c>
    </row>
    <row r="43" customFormat="false" ht="15" hidden="false" customHeight="false" outlineLevel="0" collapsed="false">
      <c r="A43" s="4" t="s">
        <v>209</v>
      </c>
      <c r="B43" s="2" t="s">
        <v>210</v>
      </c>
      <c r="C43" s="2" t="s">
        <v>96</v>
      </c>
      <c r="D43" s="26" t="n">
        <f aca="false">E43</f>
        <v>0.1</v>
      </c>
      <c r="E43" s="21" t="n">
        <v>0.1</v>
      </c>
      <c r="F43" s="26" t="n">
        <f aca="false">E43</f>
        <v>0.1</v>
      </c>
      <c r="G43" s="19" t="s">
        <v>110</v>
      </c>
      <c r="H43" s="20" t="s">
        <v>211</v>
      </c>
    </row>
    <row r="44" customFormat="false" ht="15" hidden="false" customHeight="false" outlineLevel="0" collapsed="false">
      <c r="A44" s="4" t="s">
        <v>212</v>
      </c>
      <c r="B44" s="2" t="s">
        <v>213</v>
      </c>
      <c r="C44" s="2" t="s">
        <v>96</v>
      </c>
      <c r="D44" s="26" t="n">
        <f aca="false">E44</f>
        <v>0.15</v>
      </c>
      <c r="E44" s="21" t="n">
        <v>0.15</v>
      </c>
      <c r="F44" s="26" t="n">
        <f aca="false">E44</f>
        <v>0.15</v>
      </c>
      <c r="G44" s="19" t="s">
        <v>110</v>
      </c>
      <c r="H44" s="20" t="s">
        <v>214</v>
      </c>
    </row>
    <row r="45" customFormat="false" ht="15" hidden="false" customHeight="false" outlineLevel="0" collapsed="false">
      <c r="A45" s="14" t="s">
        <v>215</v>
      </c>
      <c r="B45" s="15"/>
      <c r="C45" s="15"/>
      <c r="D45" s="15"/>
      <c r="E45" s="15"/>
      <c r="F45" s="15"/>
      <c r="G45" s="15"/>
      <c r="H45" s="15"/>
    </row>
    <row r="46" customFormat="false" ht="15" hidden="false" customHeight="false" outlineLevel="0" collapsed="false">
      <c r="A46" s="4" t="s">
        <v>216</v>
      </c>
      <c r="B46" s="2" t="s">
        <v>217</v>
      </c>
      <c r="C46" s="2" t="s">
        <v>91</v>
      </c>
      <c r="D46" s="17" t="n">
        <f aca="false">E46</f>
        <v>22</v>
      </c>
      <c r="E46" s="18" t="n">
        <v>22</v>
      </c>
      <c r="F46" s="17" t="n">
        <f aca="false">E46</f>
        <v>22</v>
      </c>
      <c r="G46" s="19" t="s">
        <v>92</v>
      </c>
      <c r="H46" s="20" t="s">
        <v>218</v>
      </c>
    </row>
    <row r="47" customFormat="false" ht="15" hidden="false" customHeight="false" outlineLevel="0" collapsed="false">
      <c r="A47" s="4" t="s">
        <v>219</v>
      </c>
      <c r="B47" s="2" t="s">
        <v>220</v>
      </c>
      <c r="C47" s="2" t="s">
        <v>91</v>
      </c>
      <c r="D47" s="17" t="n">
        <f aca="false">E47</f>
        <v>22</v>
      </c>
      <c r="E47" s="18" t="n">
        <v>22</v>
      </c>
      <c r="F47" s="17" t="n">
        <f aca="false">E47</f>
        <v>22</v>
      </c>
      <c r="G47" s="19" t="s">
        <v>92</v>
      </c>
      <c r="H47" s="20" t="s">
        <v>221</v>
      </c>
    </row>
    <row r="48" customFormat="false" ht="15" hidden="false" customHeight="false" outlineLevel="0" collapsed="false">
      <c r="A48" s="4" t="s">
        <v>222</v>
      </c>
      <c r="B48" s="2" t="s">
        <v>223</v>
      </c>
      <c r="C48" s="2" t="s">
        <v>224</v>
      </c>
      <c r="D48" s="17" t="n">
        <f aca="false">E48</f>
        <v>2</v>
      </c>
      <c r="E48" s="18" t="n">
        <v>2</v>
      </c>
      <c r="F48" s="17" t="n">
        <f aca="false">E48</f>
        <v>2</v>
      </c>
      <c r="G48" s="19" t="s">
        <v>110</v>
      </c>
      <c r="H48" s="20" t="s">
        <v>225</v>
      </c>
    </row>
    <row r="49" customFormat="false" ht="15" hidden="false" customHeight="false" outlineLevel="0" collapsed="false">
      <c r="A49" s="4" t="s">
        <v>226</v>
      </c>
      <c r="B49" s="2" t="s">
        <v>227</v>
      </c>
      <c r="C49" s="2" t="s">
        <v>96</v>
      </c>
      <c r="D49" s="26" t="n">
        <f aca="false">E49</f>
        <v>0.1</v>
      </c>
      <c r="E49" s="21" t="n">
        <v>0.1</v>
      </c>
      <c r="F49" s="26" t="n">
        <f aca="false">E49</f>
        <v>0.1</v>
      </c>
      <c r="G49" s="19" t="s">
        <v>110</v>
      </c>
      <c r="H49" s="20" t="s">
        <v>228</v>
      </c>
    </row>
    <row r="50" customFormat="false" ht="15" hidden="false" customHeight="false" outlineLevel="0" collapsed="false">
      <c r="A50" s="4" t="s">
        <v>229</v>
      </c>
      <c r="B50" s="2" t="s">
        <v>230</v>
      </c>
      <c r="C50" s="2" t="s">
        <v>231</v>
      </c>
      <c r="D50" s="26" t="n">
        <f aca="false">E50</f>
        <v>0.2</v>
      </c>
      <c r="E50" s="27" t="n">
        <v>0.2</v>
      </c>
      <c r="F50" s="26" t="n">
        <f aca="false">E50</f>
        <v>0.2</v>
      </c>
      <c r="G50" s="19" t="s">
        <v>110</v>
      </c>
      <c r="H50" s="20" t="s">
        <v>232</v>
      </c>
    </row>
    <row r="51" customFormat="false" ht="15" hidden="false" customHeight="false" outlineLevel="0" collapsed="false">
      <c r="A51" s="4" t="s">
        <v>233</v>
      </c>
      <c r="B51" s="2" t="s">
        <v>234</v>
      </c>
      <c r="C51" s="2" t="s">
        <v>235</v>
      </c>
      <c r="D51" s="29" t="n">
        <f aca="false">E51</f>
        <v>0.15</v>
      </c>
      <c r="E51" s="30" t="n">
        <v>0.15</v>
      </c>
      <c r="F51" s="29" t="n">
        <f aca="false">E51</f>
        <v>0.15</v>
      </c>
      <c r="G51" s="19" t="s">
        <v>110</v>
      </c>
      <c r="H51" s="20" t="s">
        <v>232</v>
      </c>
    </row>
    <row r="52" customFormat="false" ht="15" hidden="false" customHeight="false" outlineLevel="0" collapsed="false">
      <c r="A52" s="4" t="s">
        <v>236</v>
      </c>
      <c r="B52" s="2" t="s">
        <v>237</v>
      </c>
      <c r="C52" s="2" t="s">
        <v>238</v>
      </c>
      <c r="D52" s="26" t="n">
        <f aca="false">E52</f>
        <v>0.015</v>
      </c>
      <c r="E52" s="27" t="n">
        <v>0.015</v>
      </c>
      <c r="F52" s="26" t="n">
        <f aca="false">E52</f>
        <v>0.015</v>
      </c>
      <c r="G52" s="19" t="s">
        <v>110</v>
      </c>
      <c r="H52" s="20" t="s">
        <v>232</v>
      </c>
    </row>
    <row r="53" customFormat="false" ht="15" hidden="false" customHeight="false" outlineLevel="0" collapsed="false">
      <c r="A53" s="4" t="s">
        <v>239</v>
      </c>
      <c r="B53" s="2" t="s">
        <v>240</v>
      </c>
      <c r="C53" s="2" t="s">
        <v>241</v>
      </c>
      <c r="D53" s="38" t="n">
        <f aca="false">E53</f>
        <v>7</v>
      </c>
      <c r="E53" s="39" t="n">
        <v>7</v>
      </c>
      <c r="F53" s="38" t="n">
        <f aca="false">E53</f>
        <v>7</v>
      </c>
      <c r="G53" s="19" t="s">
        <v>110</v>
      </c>
      <c r="H53" s="20" t="s">
        <v>242</v>
      </c>
    </row>
    <row r="54" customFormat="false" ht="15" hidden="false" customHeight="false" outlineLevel="0" collapsed="false">
      <c r="A54" s="4" t="s">
        <v>243</v>
      </c>
      <c r="B54" s="2" t="s">
        <v>244</v>
      </c>
      <c r="C54" s="2" t="s">
        <v>109</v>
      </c>
      <c r="D54" s="23" t="n">
        <f aca="false">E54</f>
        <v>2027</v>
      </c>
      <c r="E54" s="22" t="n">
        <v>2027</v>
      </c>
      <c r="F54" s="23" t="n">
        <f aca="false">E54</f>
        <v>2027</v>
      </c>
      <c r="G54" s="19" t="s">
        <v>92</v>
      </c>
      <c r="H54" s="20" t="s">
        <v>245</v>
      </c>
    </row>
    <row r="55" customFormat="false" ht="15" hidden="false" customHeight="false" outlineLevel="0" collapsed="false">
      <c r="A55" s="14" t="s">
        <v>246</v>
      </c>
      <c r="B55" s="15"/>
      <c r="C55" s="15"/>
      <c r="D55" s="15"/>
      <c r="E55" s="15"/>
      <c r="F55" s="15"/>
      <c r="G55" s="15"/>
      <c r="H55" s="15"/>
    </row>
    <row r="56" customFormat="false" ht="15" hidden="false" customHeight="false" outlineLevel="0" collapsed="false">
      <c r="A56" s="4" t="s">
        <v>247</v>
      </c>
      <c r="B56" s="2" t="s">
        <v>248</v>
      </c>
      <c r="C56" s="2" t="s">
        <v>91</v>
      </c>
      <c r="D56" s="17" t="n">
        <f aca="false">E56</f>
        <v>250</v>
      </c>
      <c r="E56" s="18" t="n">
        <v>250</v>
      </c>
      <c r="F56" s="17" t="n">
        <f aca="false">E56</f>
        <v>250</v>
      </c>
      <c r="G56" s="19" t="s">
        <v>110</v>
      </c>
      <c r="H56" s="20" t="s">
        <v>249</v>
      </c>
    </row>
    <row r="57" customFormat="false" ht="15" hidden="false" customHeight="false" outlineLevel="0" collapsed="false">
      <c r="A57" s="4" t="s">
        <v>250</v>
      </c>
      <c r="B57" s="2" t="s">
        <v>251</v>
      </c>
      <c r="C57" s="2" t="s">
        <v>91</v>
      </c>
      <c r="D57" s="17" t="n">
        <f aca="false">E57</f>
        <v>150</v>
      </c>
      <c r="E57" s="18" t="n">
        <v>150</v>
      </c>
      <c r="F57" s="17" t="n">
        <f aca="false">E57</f>
        <v>150</v>
      </c>
      <c r="G57" s="19" t="s">
        <v>110</v>
      </c>
      <c r="H57" s="20" t="s">
        <v>252</v>
      </c>
    </row>
    <row r="58" customFormat="false" ht="15" hidden="false" customHeight="false" outlineLevel="0" collapsed="false">
      <c r="A58" s="4" t="s">
        <v>253</v>
      </c>
      <c r="B58" s="2" t="s">
        <v>254</v>
      </c>
      <c r="C58" s="2" t="s">
        <v>91</v>
      </c>
      <c r="D58" s="17" t="n">
        <f aca="false">E58</f>
        <v>100</v>
      </c>
      <c r="E58" s="18" t="n">
        <v>100</v>
      </c>
      <c r="F58" s="17" t="n">
        <f aca="false">E58</f>
        <v>100</v>
      </c>
      <c r="G58" s="19" t="s">
        <v>110</v>
      </c>
      <c r="H58" s="20" t="s">
        <v>255</v>
      </c>
    </row>
    <row r="59" customFormat="false" ht="15" hidden="false" customHeight="false" outlineLevel="0" collapsed="false">
      <c r="A59" s="4" t="s">
        <v>256</v>
      </c>
      <c r="B59" s="2" t="s">
        <v>257</v>
      </c>
      <c r="C59" s="2" t="s">
        <v>91</v>
      </c>
      <c r="D59" s="17" t="n">
        <f aca="false">E59</f>
        <v>150</v>
      </c>
      <c r="E59" s="18" t="n">
        <v>150</v>
      </c>
      <c r="F59" s="17" t="n">
        <f aca="false">E59</f>
        <v>150</v>
      </c>
      <c r="G59" s="19" t="s">
        <v>110</v>
      </c>
      <c r="H59" s="20" t="s">
        <v>258</v>
      </c>
    </row>
    <row r="60" customFormat="false" ht="15" hidden="false" customHeight="false" outlineLevel="0" collapsed="false">
      <c r="A60" s="4" t="s">
        <v>259</v>
      </c>
      <c r="B60" s="2" t="s">
        <v>260</v>
      </c>
      <c r="C60" s="2" t="s">
        <v>96</v>
      </c>
      <c r="D60" s="26" t="n">
        <f aca="false">E60</f>
        <v>0.85</v>
      </c>
      <c r="E60" s="27" t="n">
        <v>0.85</v>
      </c>
      <c r="F60" s="26" t="n">
        <f aca="false">E60</f>
        <v>0.85</v>
      </c>
      <c r="G60" s="19" t="s">
        <v>110</v>
      </c>
      <c r="H60" s="20" t="s">
        <v>261</v>
      </c>
    </row>
    <row r="61" customFormat="false" ht="15" hidden="false" customHeight="false" outlineLevel="0" collapsed="false">
      <c r="A61" s="4" t="s">
        <v>262</v>
      </c>
      <c r="B61" s="2" t="s">
        <v>263</v>
      </c>
      <c r="C61" s="2" t="s">
        <v>96</v>
      </c>
      <c r="D61" s="26" t="n">
        <f aca="false">E61</f>
        <v>0.9</v>
      </c>
      <c r="E61" s="27" t="n">
        <v>0.9</v>
      </c>
      <c r="F61" s="26" t="n">
        <f aca="false">E61</f>
        <v>0.9</v>
      </c>
      <c r="G61" s="19" t="s">
        <v>110</v>
      </c>
      <c r="H61" s="20"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9" min="3" style="0" width="11"/>
  </cols>
  <sheetData>
    <row r="1" customFormat="false" ht="17.35" hidden="false" customHeight="false" outlineLevel="0" collapsed="false">
      <c r="A1" s="1" t="s">
        <v>265</v>
      </c>
    </row>
    <row r="2" customFormat="false" ht="15" hidden="false" customHeight="false" outlineLevel="0" collapsed="false">
      <c r="A2" s="4" t="s">
        <v>266</v>
      </c>
    </row>
    <row r="4" customFormat="false" ht="15" hidden="false" customHeight="false" outlineLevel="0" collapsed="false">
      <c r="A4" s="5" t="s">
        <v>267</v>
      </c>
      <c r="B4" s="6" t="s">
        <v>85</v>
      </c>
      <c r="C4" s="40" t="n">
        <v>2026</v>
      </c>
      <c r="D4" s="40" t="n">
        <v>2027</v>
      </c>
      <c r="E4" s="40" t="n">
        <v>2028</v>
      </c>
      <c r="F4" s="40" t="n">
        <v>2029</v>
      </c>
      <c r="G4" s="40" t="n">
        <v>2030</v>
      </c>
      <c r="H4" s="40" t="n">
        <v>2031</v>
      </c>
      <c r="I4" s="40" t="n">
        <v>2032</v>
      </c>
    </row>
    <row r="5" customFormat="false" ht="15" hidden="false" customHeight="false" outlineLevel="0" collapsed="false">
      <c r="A5" s="3" t="s">
        <v>268</v>
      </c>
      <c r="B5" s="2" t="s">
        <v>91</v>
      </c>
      <c r="C5" s="7" t="n">
        <f aca="false">Inputs!$D$6</f>
        <v>2514</v>
      </c>
      <c r="D5" s="17" t="n">
        <f aca="false">C5*(1+Inputs!$D$8)</f>
        <v>2715.12</v>
      </c>
      <c r="E5" s="17" t="n">
        <f aca="false">D5*(1+Inputs!$D$8)</f>
        <v>2932.3296</v>
      </c>
      <c r="F5" s="17" t="n">
        <f aca="false">E5*(1+Inputs!$D$8)</f>
        <v>3166.915968</v>
      </c>
      <c r="G5" s="17" t="n">
        <f aca="false">F5*(1+Inputs!$D$8)</f>
        <v>3420.26924544</v>
      </c>
      <c r="H5" s="17" t="n">
        <f aca="false">G5*(1+Inputs!$D$8)</f>
        <v>3693.8907850752</v>
      </c>
      <c r="I5" s="17" t="n">
        <f aca="false">H5*(1+Inputs!$D$8)</f>
        <v>3989.40204788122</v>
      </c>
    </row>
    <row r="6" customFormat="false" ht="15" hidden="false" customHeight="false" outlineLevel="0" collapsed="false">
      <c r="A6" s="2" t="s">
        <v>269</v>
      </c>
      <c r="B6" s="2" t="s">
        <v>91</v>
      </c>
      <c r="C6" s="17" t="n">
        <f aca="false">Inputs!$D$6*(1+Inputs!$D$7)</f>
        <v>2476.29</v>
      </c>
      <c r="D6" s="17" t="n">
        <f aca="false">Inputs!$D$6*(1+Inputs!$D$7)</f>
        <v>2476.29</v>
      </c>
      <c r="E6" s="17" t="n">
        <f aca="false">Inputs!$D$6*(1+Inputs!$D$7)</f>
        <v>2476.29</v>
      </c>
      <c r="F6" s="17" t="n">
        <f aca="false">Inputs!$D$6*(1+Inputs!$D$7)</f>
        <v>2476.29</v>
      </c>
      <c r="G6" s="17" t="n">
        <f aca="false">Inputs!$D$6*(1+Inputs!$D$7)</f>
        <v>2476.29</v>
      </c>
      <c r="H6" s="17" t="n">
        <f aca="false">Inputs!$D$6*(1+Inputs!$D$7)</f>
        <v>2476.29</v>
      </c>
      <c r="I6" s="17" t="n">
        <f aca="false">Inputs!$D$6*(1+Inputs!$D$7)</f>
        <v>2476.29</v>
      </c>
    </row>
    <row r="7" customFormat="false" ht="15" hidden="false" customHeight="false" outlineLevel="0" collapsed="false">
      <c r="A7" s="2" t="s">
        <v>270</v>
      </c>
      <c r="B7" s="2" t="s">
        <v>91</v>
      </c>
      <c r="C7" s="24" t="n">
        <f aca="false">IF(C$4&gt;=Inputs!$D$11,Inputs!$D$10,0)</f>
        <v>0</v>
      </c>
      <c r="D7" s="24" t="n">
        <f aca="false">IF(D$4&gt;=Inputs!$D$11,Inputs!$D$10,0)</f>
        <v>0</v>
      </c>
      <c r="E7" s="24" t="n">
        <f aca="false">IF(E$4&gt;=Inputs!$D$11,Inputs!$D$10,0)</f>
        <v>100</v>
      </c>
      <c r="F7" s="24" t="n">
        <f aca="false">IF(F$4&gt;=Inputs!$D$11,Inputs!$D$10,0)</f>
        <v>100</v>
      </c>
      <c r="G7" s="24" t="n">
        <f aca="false">IF(G$4&gt;=Inputs!$D$11,Inputs!$D$10,0)</f>
        <v>100</v>
      </c>
      <c r="H7" s="24" t="n">
        <f aca="false">IF(H$4&gt;=Inputs!$D$11,Inputs!$D$10,0)</f>
        <v>100</v>
      </c>
      <c r="I7" s="24" t="n">
        <f aca="false">IF(I$4&gt;=Inputs!$D$11,Inputs!$D$10,0)</f>
        <v>100</v>
      </c>
    </row>
    <row r="8" customFormat="false" ht="15" hidden="false" customHeight="false" outlineLevel="0" collapsed="false">
      <c r="A8" s="2" t="s">
        <v>271</v>
      </c>
      <c r="B8" s="2" t="s">
        <v>91</v>
      </c>
      <c r="C8" s="24" t="n">
        <f aca="false">IF(C$4&gt;=Inputs!$D$13,Inputs!$D$12,0)</f>
        <v>0</v>
      </c>
      <c r="D8" s="24" t="n">
        <f aca="false">IF(D$4&gt;=Inputs!$D$13,Inputs!$D$12,0)</f>
        <v>0</v>
      </c>
      <c r="E8" s="24" t="n">
        <f aca="false">IF(E$4&gt;=Inputs!$D$13,Inputs!$D$12,0)</f>
        <v>16</v>
      </c>
      <c r="F8" s="24" t="n">
        <f aca="false">IF(F$4&gt;=Inputs!$D$13,Inputs!$D$12,0)</f>
        <v>16</v>
      </c>
      <c r="G8" s="24" t="n">
        <f aca="false">IF(G$4&gt;=Inputs!$D$13,Inputs!$D$12,0)</f>
        <v>16</v>
      </c>
      <c r="H8" s="24" t="n">
        <f aca="false">IF(H$4&gt;=Inputs!$D$13,Inputs!$D$12,0)</f>
        <v>16</v>
      </c>
      <c r="I8" s="24" t="n">
        <f aca="false">IF(I$4&gt;=Inputs!$D$13,Inputs!$D$12,0)</f>
        <v>16</v>
      </c>
    </row>
    <row r="9" customFormat="false" ht="15" hidden="false" customHeight="false" outlineLevel="0" collapsed="false">
      <c r="A9" s="2" t="s">
        <v>272</v>
      </c>
      <c r="B9" s="2" t="s">
        <v>91</v>
      </c>
      <c r="C9" s="24" t="n">
        <f aca="false">IF(C$4&gt;=Inputs!$D$15,Inputs!$D$14,0)</f>
        <v>0</v>
      </c>
      <c r="D9" s="24" t="n">
        <f aca="false">IF(D$4&gt;=Inputs!$D$15,Inputs!$D$14,0)</f>
        <v>0</v>
      </c>
      <c r="E9" s="24" t="n">
        <f aca="false">IF(E$4&gt;=Inputs!$D$15,Inputs!$D$14,0)</f>
        <v>100</v>
      </c>
      <c r="F9" s="24" t="n">
        <f aca="false">IF(F$4&gt;=Inputs!$D$15,Inputs!$D$14,0)</f>
        <v>100</v>
      </c>
      <c r="G9" s="24" t="n">
        <f aca="false">IF(G$4&gt;=Inputs!$D$15,Inputs!$D$14,0)</f>
        <v>100</v>
      </c>
      <c r="H9" s="24" t="n">
        <f aca="false">IF(H$4&gt;=Inputs!$D$15,Inputs!$D$14,0)</f>
        <v>100</v>
      </c>
      <c r="I9" s="24" t="n">
        <f aca="false">IF(I$4&gt;=Inputs!$D$15,Inputs!$D$14,0)</f>
        <v>100</v>
      </c>
    </row>
    <row r="10" customFormat="false" ht="15" hidden="false" customHeight="false" outlineLevel="0" collapsed="false">
      <c r="A10" s="2" t="s">
        <v>273</v>
      </c>
      <c r="B10" s="2" t="s">
        <v>91</v>
      </c>
      <c r="C10" s="24" t="n">
        <f aca="false">IF(C$4&gt;=Inputs!$D$17,Inputs!$D$16,0)</f>
        <v>0</v>
      </c>
      <c r="D10" s="24" t="n">
        <f aca="false">IF(D$4&gt;=Inputs!$D$17,Inputs!$D$16,0)</f>
        <v>0</v>
      </c>
      <c r="E10" s="24" t="n">
        <f aca="false">IF(E$4&gt;=Inputs!$D$17,Inputs!$D$16,0)</f>
        <v>0</v>
      </c>
      <c r="F10" s="24" t="n">
        <f aca="false">IF(F$4&gt;=Inputs!$D$17,Inputs!$D$16,0)</f>
        <v>0</v>
      </c>
      <c r="G10" s="24" t="n">
        <f aca="false">IF(G$4&gt;=Inputs!$D$17,Inputs!$D$16,0)</f>
        <v>0</v>
      </c>
      <c r="H10" s="24" t="n">
        <f aca="false">IF(H$4&gt;=Inputs!$D$17,Inputs!$D$16,0)</f>
        <v>0</v>
      </c>
      <c r="I10" s="24" t="n">
        <f aca="false">IF(I$4&gt;=Inputs!$D$17,Inputs!$D$16,0)</f>
        <v>0</v>
      </c>
    </row>
    <row r="11" customFormat="false" ht="15" hidden="false" customHeight="false" outlineLevel="0" collapsed="false">
      <c r="A11" s="2" t="s">
        <v>274</v>
      </c>
      <c r="B11" s="2" t="s">
        <v>91</v>
      </c>
      <c r="C11" s="24" t="n">
        <f aca="false">IF(C$4&gt;=Inputs!$D$19,Inputs!$D$18,0)</f>
        <v>0</v>
      </c>
      <c r="D11" s="24" t="n">
        <f aca="false">IF(D$4&gt;=Inputs!$D$19,Inputs!$D$18,0)</f>
        <v>0</v>
      </c>
      <c r="E11" s="24" t="n">
        <f aca="false">IF(E$4&gt;=Inputs!$D$19,Inputs!$D$18,0)</f>
        <v>0</v>
      </c>
      <c r="F11" s="24" t="n">
        <f aca="false">IF(F$4&gt;=Inputs!$D$19,Inputs!$D$18,0)</f>
        <v>0</v>
      </c>
      <c r="G11" s="24" t="n">
        <f aca="false">IF(G$4&gt;=Inputs!$D$19,Inputs!$D$18,0)</f>
        <v>80.3</v>
      </c>
      <c r="H11" s="24" t="n">
        <f aca="false">IF(H$4&gt;=Inputs!$D$19,Inputs!$D$18,0)</f>
        <v>80.3</v>
      </c>
      <c r="I11" s="24" t="n">
        <f aca="false">IF(I$4&gt;=Inputs!$D$19,Inputs!$D$18,0)</f>
        <v>80.3</v>
      </c>
    </row>
    <row r="12" customFormat="false" ht="15" hidden="false" customHeight="false" outlineLevel="0" collapsed="false">
      <c r="A12" s="2" t="s">
        <v>275</v>
      </c>
      <c r="B12" s="2" t="s">
        <v>91</v>
      </c>
      <c r="C12" s="24" t="n">
        <f aca="false">IF(C$4&gt;=Inputs!$D$22,Inputs!$D$20*Inputs!$D$21,0)</f>
        <v>0</v>
      </c>
      <c r="D12" s="24" t="n">
        <f aca="false">IF(D$4&gt;=Inputs!$D$22,Inputs!$D$20*Inputs!$D$21,0)</f>
        <v>0</v>
      </c>
      <c r="E12" s="24" t="n">
        <f aca="false">IF(E$4&gt;=Inputs!$D$22,Inputs!$D$20*Inputs!$D$21,0)</f>
        <v>0</v>
      </c>
      <c r="F12" s="24" t="n">
        <f aca="false">IF(F$4&gt;=Inputs!$D$22,Inputs!$D$20*Inputs!$D$21,0)</f>
        <v>0</v>
      </c>
      <c r="G12" s="24" t="n">
        <f aca="false">IF(G$4&gt;=Inputs!$D$22,Inputs!$D$20*Inputs!$D$21,0)</f>
        <v>0</v>
      </c>
      <c r="H12" s="24" t="n">
        <f aca="false">IF(H$4&gt;=Inputs!$D$22,Inputs!$D$20*Inputs!$D$21,0)</f>
        <v>0</v>
      </c>
      <c r="I12" s="24" t="n">
        <f aca="false">IF(I$4&gt;=Inputs!$D$22,Inputs!$D$20*Inputs!$D$21,0)</f>
        <v>0</v>
      </c>
    </row>
    <row r="13" customFormat="false" ht="15" hidden="false" customHeight="false" outlineLevel="0" collapsed="false">
      <c r="A13" s="2" t="s">
        <v>276</v>
      </c>
      <c r="B13" s="2" t="s">
        <v>91</v>
      </c>
      <c r="C13" s="24" t="n">
        <f aca="false">Inputs!$D$23*MAX(0,C$4-Inputs!$D$24+1)</f>
        <v>0</v>
      </c>
      <c r="D13" s="24" t="n">
        <f aca="false">Inputs!$D$23*MAX(0,D$4-Inputs!$D$24+1)</f>
        <v>0</v>
      </c>
      <c r="E13" s="24" t="n">
        <f aca="false">Inputs!$D$23*MAX(0,E$4-Inputs!$D$24+1)</f>
        <v>0</v>
      </c>
      <c r="F13" s="24" t="n">
        <f aca="false">Inputs!$D$23*MAX(0,F$4-Inputs!$D$24+1)</f>
        <v>0</v>
      </c>
      <c r="G13" s="24" t="n">
        <f aca="false">Inputs!$D$23*MAX(0,G$4-Inputs!$D$24+1)</f>
        <v>0</v>
      </c>
      <c r="H13" s="24" t="n">
        <f aca="false">Inputs!$D$23*MAX(0,H$4-Inputs!$D$24+1)</f>
        <v>0</v>
      </c>
      <c r="I13" s="24" t="n">
        <f aca="false">Inputs!$D$23*MAX(0,I$4-Inputs!$D$24+1)</f>
        <v>0</v>
      </c>
    </row>
    <row r="14" customFormat="false" ht="15" hidden="false" customHeight="false" outlineLevel="0" collapsed="false">
      <c r="A14" s="3" t="s">
        <v>277</v>
      </c>
      <c r="B14" s="2" t="s">
        <v>91</v>
      </c>
      <c r="C14" s="41" t="n">
        <f aca="false">C6+SUM(C7:C13)</f>
        <v>2476.29</v>
      </c>
      <c r="D14" s="41" t="n">
        <f aca="false">D6+SUM(D7:D13)</f>
        <v>2476.29</v>
      </c>
      <c r="E14" s="41" t="n">
        <f aca="false">E6+SUM(E7:E13)</f>
        <v>2692.29</v>
      </c>
      <c r="F14" s="41" t="n">
        <f aca="false">F6+SUM(F7:F13)</f>
        <v>2692.29</v>
      </c>
      <c r="G14" s="41" t="n">
        <f aca="false">G6+SUM(G7:G13)</f>
        <v>2772.59</v>
      </c>
      <c r="H14" s="41" t="n">
        <f aca="false">H6+SUM(H7:H13)</f>
        <v>2772.59</v>
      </c>
      <c r="I14" s="41" t="n">
        <f aca="false">I6+SUM(I7:I13)</f>
        <v>2772.59</v>
      </c>
    </row>
    <row r="15" customFormat="false" ht="15" hidden="false" customHeight="false" outlineLevel="0" collapsed="false">
      <c r="A15" s="3" t="s">
        <v>278</v>
      </c>
      <c r="B15" s="2" t="s">
        <v>96</v>
      </c>
      <c r="C15" s="42" t="n">
        <f aca="false">C14/C5-1</f>
        <v>-0.015</v>
      </c>
      <c r="D15" s="42" t="n">
        <f aca="false">D14/D5-1</f>
        <v>-0.0879629629629631</v>
      </c>
      <c r="E15" s="42" t="n">
        <f aca="false">E14/E5-1</f>
        <v>-0.0818596927166716</v>
      </c>
      <c r="F15" s="42" t="n">
        <f aca="false">F14/F5-1</f>
        <v>-0.14987008584877</v>
      </c>
      <c r="G15" s="42" t="n">
        <f aca="false">G14/G5-1</f>
        <v>-0.189364988239889</v>
      </c>
      <c r="H15" s="42" t="n">
        <f aca="false">H14/H5-1</f>
        <v>-0.249412026148046</v>
      </c>
      <c r="I15" s="42" t="n">
        <f aca="false">I14/I5-1</f>
        <v>-0.305011135322265</v>
      </c>
    </row>
    <row r="16" customFormat="false" ht="15" hidden="false" customHeight="false" outlineLevel="0" collapsed="false">
      <c r="A16" s="2" t="s">
        <v>279</v>
      </c>
      <c r="B16" s="2" t="s">
        <v>91</v>
      </c>
      <c r="C16" s="17" t="n">
        <f aca="false">C14-C5</f>
        <v>-37.71</v>
      </c>
      <c r="D16" s="17" t="n">
        <f aca="false">D14-D5</f>
        <v>-238.83</v>
      </c>
      <c r="E16" s="17" t="n">
        <f aca="false">E14-E5</f>
        <v>-240.039600000001</v>
      </c>
      <c r="F16" s="17" t="n">
        <f aca="false">F14-F5</f>
        <v>-474.625968000001</v>
      </c>
      <c r="G16" s="17" t="n">
        <f aca="false">G14-G5</f>
        <v>-647.679245440001</v>
      </c>
      <c r="H16" s="17" t="n">
        <f aca="false">H14-H5</f>
        <v>-921.300785075201</v>
      </c>
      <c r="I16" s="17" t="n">
        <f aca="false">I14-I5</f>
        <v>-1216.81204788122</v>
      </c>
    </row>
    <row r="17" customFormat="false" ht="15" hidden="false" customHeight="false" outlineLevel="0" collapsed="false">
      <c r="A17" s="2" t="s">
        <v>280</v>
      </c>
      <c r="B17" s="2" t="s">
        <v>147</v>
      </c>
      <c r="D17" s="17" t="n">
        <f aca="false">D5-C5</f>
        <v>201.12</v>
      </c>
      <c r="E17" s="17" t="n">
        <f aca="false">E5-D5</f>
        <v>217.2096</v>
      </c>
      <c r="F17" s="17" t="n">
        <f aca="false">F5-E5</f>
        <v>234.586368</v>
      </c>
      <c r="G17" s="17" t="n">
        <f aca="false">G5-F5</f>
        <v>253.35327744</v>
      </c>
      <c r="H17" s="17" t="n">
        <f aca="false">H5-G5</f>
        <v>273.6215396352</v>
      </c>
      <c r="I17" s="17" t="n">
        <f aca="false">I5-H5</f>
        <v>295.511262806017</v>
      </c>
    </row>
    <row r="19" customFormat="false" ht="15" hidden="false" customHeight="false" outlineLevel="0" collapsed="false">
      <c r="A19" s="5" t="s">
        <v>281</v>
      </c>
      <c r="B19" s="6" t="s">
        <v>85</v>
      </c>
      <c r="C19" s="40" t="n">
        <v>2026</v>
      </c>
      <c r="D19" s="40" t="n">
        <v>2027</v>
      </c>
      <c r="E19" s="40" t="n">
        <v>2028</v>
      </c>
      <c r="F19" s="40" t="n">
        <v>2029</v>
      </c>
      <c r="G19" s="40" t="n">
        <v>2030</v>
      </c>
      <c r="H19" s="40" t="n">
        <v>2031</v>
      </c>
      <c r="I19" s="40" t="n">
        <v>2032</v>
      </c>
    </row>
    <row r="20" customFormat="false" ht="15" hidden="false" customHeight="false" outlineLevel="0" collapsed="false">
      <c r="A20" s="3" t="s">
        <v>268</v>
      </c>
      <c r="B20" s="2" t="s">
        <v>91</v>
      </c>
      <c r="C20" s="7" t="n">
        <f aca="false">Inputs!$E$6</f>
        <v>2514</v>
      </c>
      <c r="D20" s="17" t="n">
        <f aca="false">C20*(1+Inputs!$E$8)</f>
        <v>2677.41</v>
      </c>
      <c r="E20" s="17" t="n">
        <f aca="false">D20*(1+Inputs!$E$8)</f>
        <v>2851.44165</v>
      </c>
      <c r="F20" s="17" t="n">
        <f aca="false">E20*(1+Inputs!$E$8)</f>
        <v>3036.78535725</v>
      </c>
      <c r="G20" s="17" t="n">
        <f aca="false">F20*(1+Inputs!$E$8)</f>
        <v>3234.17640547125</v>
      </c>
      <c r="H20" s="17" t="n">
        <f aca="false">G20*(1+Inputs!$E$8)</f>
        <v>3444.39787182688</v>
      </c>
      <c r="I20" s="17" t="n">
        <f aca="false">H20*(1+Inputs!$E$8)</f>
        <v>3668.28373349563</v>
      </c>
    </row>
    <row r="21" customFormat="false" ht="15" hidden="false" customHeight="false" outlineLevel="0" collapsed="false">
      <c r="A21" s="2" t="s">
        <v>269</v>
      </c>
      <c r="B21" s="2" t="s">
        <v>91</v>
      </c>
      <c r="C21" s="17" t="n">
        <f aca="false">Inputs!$E$6*(1+Inputs!$E$7)</f>
        <v>2597.9676</v>
      </c>
      <c r="D21" s="17" t="n">
        <f aca="false">Inputs!$E$6*(1+Inputs!$E$7)</f>
        <v>2597.9676</v>
      </c>
      <c r="E21" s="17" t="n">
        <f aca="false">Inputs!$E$6*(1+Inputs!$E$7)</f>
        <v>2597.9676</v>
      </c>
      <c r="F21" s="17" t="n">
        <f aca="false">Inputs!$E$6*(1+Inputs!$E$7)</f>
        <v>2597.9676</v>
      </c>
      <c r="G21" s="17" t="n">
        <f aca="false">Inputs!$E$6*(1+Inputs!$E$7)</f>
        <v>2597.9676</v>
      </c>
      <c r="H21" s="17" t="n">
        <f aca="false">Inputs!$E$6*(1+Inputs!$E$7)</f>
        <v>2597.9676</v>
      </c>
      <c r="I21" s="17" t="n">
        <f aca="false">Inputs!$E$6*(1+Inputs!$E$7)</f>
        <v>2597.9676</v>
      </c>
    </row>
    <row r="22" customFormat="false" ht="15" hidden="false" customHeight="false" outlineLevel="0" collapsed="false">
      <c r="A22" s="2" t="s">
        <v>270</v>
      </c>
      <c r="B22" s="2" t="s">
        <v>91</v>
      </c>
      <c r="C22" s="24" t="n">
        <f aca="false">IF(C$19&gt;=Inputs!$E$11,Inputs!$E$10,0)</f>
        <v>0</v>
      </c>
      <c r="D22" s="24" t="n">
        <f aca="false">IF(D$19&gt;=Inputs!$E$11,Inputs!$E$10,0)</f>
        <v>200</v>
      </c>
      <c r="E22" s="24" t="n">
        <f aca="false">IF(E$19&gt;=Inputs!$E$11,Inputs!$E$10,0)</f>
        <v>200</v>
      </c>
      <c r="F22" s="24" t="n">
        <f aca="false">IF(F$19&gt;=Inputs!$E$11,Inputs!$E$10,0)</f>
        <v>200</v>
      </c>
      <c r="G22" s="24" t="n">
        <f aca="false">IF(G$19&gt;=Inputs!$E$11,Inputs!$E$10,0)</f>
        <v>200</v>
      </c>
      <c r="H22" s="24" t="n">
        <f aca="false">IF(H$19&gt;=Inputs!$E$11,Inputs!$E$10,0)</f>
        <v>200</v>
      </c>
      <c r="I22" s="24" t="n">
        <f aca="false">IF(I$19&gt;=Inputs!$E$11,Inputs!$E$10,0)</f>
        <v>200</v>
      </c>
    </row>
    <row r="23" customFormat="false" ht="15" hidden="false" customHeight="false" outlineLevel="0" collapsed="false">
      <c r="A23" s="2" t="s">
        <v>271</v>
      </c>
      <c r="B23" s="2" t="s">
        <v>91</v>
      </c>
      <c r="C23" s="24" t="n">
        <f aca="false">IF(C$19&gt;=Inputs!$E$13,Inputs!$E$12,0)</f>
        <v>0</v>
      </c>
      <c r="D23" s="24" t="n">
        <f aca="false">IF(D$19&gt;=Inputs!$E$13,Inputs!$E$12,0)</f>
        <v>16</v>
      </c>
      <c r="E23" s="24" t="n">
        <f aca="false">IF(E$19&gt;=Inputs!$E$13,Inputs!$E$12,0)</f>
        <v>16</v>
      </c>
      <c r="F23" s="24" t="n">
        <f aca="false">IF(F$19&gt;=Inputs!$E$13,Inputs!$E$12,0)</f>
        <v>16</v>
      </c>
      <c r="G23" s="24" t="n">
        <f aca="false">IF(G$19&gt;=Inputs!$E$13,Inputs!$E$12,0)</f>
        <v>16</v>
      </c>
      <c r="H23" s="24" t="n">
        <f aca="false">IF(H$19&gt;=Inputs!$E$13,Inputs!$E$12,0)</f>
        <v>16</v>
      </c>
      <c r="I23" s="24" t="n">
        <f aca="false">IF(I$19&gt;=Inputs!$E$13,Inputs!$E$12,0)</f>
        <v>16</v>
      </c>
    </row>
    <row r="24" customFormat="false" ht="15" hidden="false" customHeight="false" outlineLevel="0" collapsed="false">
      <c r="A24" s="2" t="s">
        <v>272</v>
      </c>
      <c r="B24" s="2" t="s">
        <v>91</v>
      </c>
      <c r="C24" s="24" t="n">
        <f aca="false">IF(C$19&gt;=Inputs!$E$15,Inputs!$E$14,0)</f>
        <v>0</v>
      </c>
      <c r="D24" s="24" t="n">
        <f aca="false">IF(D$19&gt;=Inputs!$E$15,Inputs!$E$14,0)</f>
        <v>100</v>
      </c>
      <c r="E24" s="24" t="n">
        <f aca="false">IF(E$19&gt;=Inputs!$E$15,Inputs!$E$14,0)</f>
        <v>100</v>
      </c>
      <c r="F24" s="24" t="n">
        <f aca="false">IF(F$19&gt;=Inputs!$E$15,Inputs!$E$14,0)</f>
        <v>100</v>
      </c>
      <c r="G24" s="24" t="n">
        <f aca="false">IF(G$19&gt;=Inputs!$E$15,Inputs!$E$14,0)</f>
        <v>100</v>
      </c>
      <c r="H24" s="24" t="n">
        <f aca="false">IF(H$19&gt;=Inputs!$E$15,Inputs!$E$14,0)</f>
        <v>100</v>
      </c>
      <c r="I24" s="24" t="n">
        <f aca="false">IF(I$19&gt;=Inputs!$E$15,Inputs!$E$14,0)</f>
        <v>100</v>
      </c>
    </row>
    <row r="25" customFormat="false" ht="15" hidden="false" customHeight="false" outlineLevel="0" collapsed="false">
      <c r="A25" s="2" t="s">
        <v>273</v>
      </c>
      <c r="B25" s="2" t="s">
        <v>91</v>
      </c>
      <c r="C25" s="24" t="n">
        <f aca="false">IF(C$19&gt;=Inputs!$E$17,Inputs!$E$16,0)</f>
        <v>0</v>
      </c>
      <c r="D25" s="24" t="n">
        <f aca="false">IF(D$19&gt;=Inputs!$E$17,Inputs!$E$16,0)</f>
        <v>0</v>
      </c>
      <c r="E25" s="24" t="n">
        <f aca="false">IF(E$19&gt;=Inputs!$E$17,Inputs!$E$16,0)</f>
        <v>0</v>
      </c>
      <c r="F25" s="24" t="n">
        <f aca="false">IF(F$19&gt;=Inputs!$E$17,Inputs!$E$16,0)</f>
        <v>0</v>
      </c>
      <c r="G25" s="24" t="n">
        <f aca="false">IF(G$19&gt;=Inputs!$E$17,Inputs!$E$16,0)</f>
        <v>0</v>
      </c>
      <c r="H25" s="24" t="n">
        <f aca="false">IF(H$19&gt;=Inputs!$E$17,Inputs!$E$16,0)</f>
        <v>0</v>
      </c>
      <c r="I25" s="24" t="n">
        <f aca="false">IF(I$19&gt;=Inputs!$E$17,Inputs!$E$16,0)</f>
        <v>0</v>
      </c>
    </row>
    <row r="26" customFormat="false" ht="15" hidden="false" customHeight="false" outlineLevel="0" collapsed="false">
      <c r="A26" s="2" t="s">
        <v>274</v>
      </c>
      <c r="B26" s="2" t="s">
        <v>91</v>
      </c>
      <c r="C26" s="24" t="n">
        <f aca="false">IF(C$19&gt;=Inputs!$E$19,Inputs!$E$18,0)</f>
        <v>0</v>
      </c>
      <c r="D26" s="24" t="n">
        <f aca="false">IF(D$19&gt;=Inputs!$E$19,Inputs!$E$18,0)</f>
        <v>0</v>
      </c>
      <c r="E26" s="24" t="n">
        <f aca="false">IF(E$19&gt;=Inputs!$E$19,Inputs!$E$18,0)</f>
        <v>0</v>
      </c>
      <c r="F26" s="24" t="n">
        <f aca="false">IF(F$19&gt;=Inputs!$E$19,Inputs!$E$18,0)</f>
        <v>80.3</v>
      </c>
      <c r="G26" s="24" t="n">
        <f aca="false">IF(G$19&gt;=Inputs!$E$19,Inputs!$E$18,0)</f>
        <v>80.3</v>
      </c>
      <c r="H26" s="24" t="n">
        <f aca="false">IF(H$19&gt;=Inputs!$E$19,Inputs!$E$18,0)</f>
        <v>80.3</v>
      </c>
      <c r="I26" s="24" t="n">
        <f aca="false">IF(I$19&gt;=Inputs!$E$19,Inputs!$E$18,0)</f>
        <v>80.3</v>
      </c>
    </row>
    <row r="27" customFormat="false" ht="15" hidden="false" customHeight="false" outlineLevel="0" collapsed="false">
      <c r="A27" s="2" t="s">
        <v>275</v>
      </c>
      <c r="B27" s="2" t="s">
        <v>91</v>
      </c>
      <c r="C27" s="24" t="n">
        <f aca="false">IF(C$19&gt;=Inputs!$E$22,Inputs!$E$20*Inputs!$E$21,0)</f>
        <v>0</v>
      </c>
      <c r="D27" s="24" t="n">
        <f aca="false">IF(D$19&gt;=Inputs!$E$22,Inputs!$E$20*Inputs!$E$21,0)</f>
        <v>0</v>
      </c>
      <c r="E27" s="24" t="n">
        <f aca="false">IF(E$19&gt;=Inputs!$E$22,Inputs!$E$20*Inputs!$E$21,0)</f>
        <v>0</v>
      </c>
      <c r="F27" s="24" t="n">
        <f aca="false">IF(F$19&gt;=Inputs!$E$22,Inputs!$E$20*Inputs!$E$21,0)</f>
        <v>0</v>
      </c>
      <c r="G27" s="24" t="n">
        <f aca="false">IF(G$19&gt;=Inputs!$E$22,Inputs!$E$20*Inputs!$E$21,0)</f>
        <v>0</v>
      </c>
      <c r="H27" s="24" t="n">
        <f aca="false">IF(H$19&gt;=Inputs!$E$22,Inputs!$E$20*Inputs!$E$21,0)</f>
        <v>0</v>
      </c>
      <c r="I27" s="24" t="n">
        <f aca="false">IF(I$19&gt;=Inputs!$E$22,Inputs!$E$20*Inputs!$E$21,0)</f>
        <v>0</v>
      </c>
    </row>
    <row r="28" customFormat="false" ht="15" hidden="false" customHeight="false" outlineLevel="0" collapsed="false">
      <c r="A28" s="2" t="s">
        <v>276</v>
      </c>
      <c r="B28" s="2" t="s">
        <v>91</v>
      </c>
      <c r="C28" s="24" t="n">
        <f aca="false">Inputs!$E$23*MAX(0,C$19-Inputs!$E$24+1)</f>
        <v>0</v>
      </c>
      <c r="D28" s="24" t="n">
        <f aca="false">Inputs!$E$23*MAX(0,D$19-Inputs!$E$24+1)</f>
        <v>0</v>
      </c>
      <c r="E28" s="24" t="n">
        <f aca="false">Inputs!$E$23*MAX(0,E$19-Inputs!$E$24+1)</f>
        <v>0</v>
      </c>
      <c r="F28" s="24" t="n">
        <f aca="false">Inputs!$E$23*MAX(0,F$19-Inputs!$E$24+1)</f>
        <v>0</v>
      </c>
      <c r="G28" s="24" t="n">
        <f aca="false">Inputs!$E$23*MAX(0,G$19-Inputs!$E$24+1)</f>
        <v>150</v>
      </c>
      <c r="H28" s="24" t="n">
        <f aca="false">Inputs!$E$23*MAX(0,H$19-Inputs!$E$24+1)</f>
        <v>300</v>
      </c>
      <c r="I28" s="24" t="n">
        <f aca="false">Inputs!$E$23*MAX(0,I$19-Inputs!$E$24+1)</f>
        <v>450</v>
      </c>
    </row>
    <row r="29" customFormat="false" ht="15" hidden="false" customHeight="false" outlineLevel="0" collapsed="false">
      <c r="A29" s="3" t="s">
        <v>277</v>
      </c>
      <c r="B29" s="2" t="s">
        <v>91</v>
      </c>
      <c r="C29" s="41" t="n">
        <f aca="false">C21+SUM(C22:C28)</f>
        <v>2597.9676</v>
      </c>
      <c r="D29" s="41" t="n">
        <f aca="false">D21+SUM(D22:D28)</f>
        <v>2913.9676</v>
      </c>
      <c r="E29" s="41" t="n">
        <f aca="false">E21+SUM(E22:E28)</f>
        <v>2913.9676</v>
      </c>
      <c r="F29" s="41" t="n">
        <f aca="false">F21+SUM(F22:F28)</f>
        <v>2994.2676</v>
      </c>
      <c r="G29" s="41" t="n">
        <f aca="false">G21+SUM(G22:G28)</f>
        <v>3144.2676</v>
      </c>
      <c r="H29" s="41" t="n">
        <f aca="false">H21+SUM(H22:H28)</f>
        <v>3294.2676</v>
      </c>
      <c r="I29" s="41" t="n">
        <f aca="false">I21+SUM(I22:I28)</f>
        <v>3444.2676</v>
      </c>
    </row>
    <row r="30" customFormat="false" ht="15" hidden="false" customHeight="false" outlineLevel="0" collapsed="false">
      <c r="A30" s="3" t="s">
        <v>278</v>
      </c>
      <c r="B30" s="2" t="s">
        <v>96</v>
      </c>
      <c r="C30" s="42" t="n">
        <f aca="false">C29/C20-1</f>
        <v>0.0334000000000001</v>
      </c>
      <c r="D30" s="42" t="n">
        <f aca="false">D29/D20-1</f>
        <v>0.0883531472579846</v>
      </c>
      <c r="E30" s="42" t="n">
        <f aca="false">E29/E20-1</f>
        <v>0.0219278378009244</v>
      </c>
      <c r="F30" s="42" t="n">
        <f aca="false">F29/F20-1</f>
        <v>-0.0140009095962256</v>
      </c>
      <c r="G30" s="42" t="n">
        <f aca="false">G29/G20-1</f>
        <v>-0.0277995984755658</v>
      </c>
      <c r="H30" s="42" t="n">
        <f aca="false">H29/H20-1</f>
        <v>-0.0435867972904224</v>
      </c>
      <c r="I30" s="42" t="n">
        <f aca="false">I29/I20-1</f>
        <v>-0.0610683768679352</v>
      </c>
    </row>
    <row r="31" customFormat="false" ht="15" hidden="false" customHeight="false" outlineLevel="0" collapsed="false">
      <c r="A31" s="2" t="s">
        <v>279</v>
      </c>
      <c r="B31" s="2" t="s">
        <v>91</v>
      </c>
      <c r="C31" s="17" t="n">
        <f aca="false">C29-C20</f>
        <v>83.9676000000004</v>
      </c>
      <c r="D31" s="17" t="n">
        <f aca="false">D29-D20</f>
        <v>236.557600000001</v>
      </c>
      <c r="E31" s="17" t="n">
        <f aca="false">E29-E20</f>
        <v>62.5259500000007</v>
      </c>
      <c r="F31" s="17" t="n">
        <f aca="false">F29-F20</f>
        <v>-42.5177572499988</v>
      </c>
      <c r="G31" s="17" t="n">
        <f aca="false">G29-G20</f>
        <v>-89.9088054712493</v>
      </c>
      <c r="H31" s="17" t="n">
        <f aca="false">H29-H20</f>
        <v>-150.13027182688</v>
      </c>
      <c r="I31" s="17" t="n">
        <f aca="false">I29-I20</f>
        <v>-224.016133495627</v>
      </c>
    </row>
    <row r="32" customFormat="false" ht="15" hidden="false" customHeight="false" outlineLevel="0" collapsed="false">
      <c r="A32" s="2" t="s">
        <v>280</v>
      </c>
      <c r="B32" s="2" t="s">
        <v>147</v>
      </c>
      <c r="D32" s="17" t="n">
        <f aca="false">D20-C20</f>
        <v>163.41</v>
      </c>
      <c r="E32" s="17" t="n">
        <f aca="false">E20-D20</f>
        <v>174.03165</v>
      </c>
      <c r="F32" s="17" t="n">
        <f aca="false">F20-E20</f>
        <v>185.34370725</v>
      </c>
      <c r="G32" s="17" t="n">
        <f aca="false">G20-F20</f>
        <v>197.39104822125</v>
      </c>
      <c r="H32" s="17" t="n">
        <f aca="false">H20-G20</f>
        <v>210.221466355631</v>
      </c>
      <c r="I32" s="17" t="n">
        <f aca="false">I20-H20</f>
        <v>223.885861668747</v>
      </c>
    </row>
    <row r="34" customFormat="false" ht="15" hidden="false" customHeight="false" outlineLevel="0" collapsed="false">
      <c r="A34" s="5" t="s">
        <v>282</v>
      </c>
      <c r="B34" s="6" t="s">
        <v>85</v>
      </c>
      <c r="C34" s="40" t="n">
        <v>2026</v>
      </c>
      <c r="D34" s="40" t="n">
        <v>2027</v>
      </c>
      <c r="E34" s="40" t="n">
        <v>2028</v>
      </c>
      <c r="F34" s="40" t="n">
        <v>2029</v>
      </c>
      <c r="G34" s="40" t="n">
        <v>2030</v>
      </c>
      <c r="H34" s="40" t="n">
        <v>2031</v>
      </c>
      <c r="I34" s="40" t="n">
        <v>2032</v>
      </c>
    </row>
    <row r="35" customFormat="false" ht="15" hidden="false" customHeight="false" outlineLevel="0" collapsed="false">
      <c r="A35" s="3" t="s">
        <v>268</v>
      </c>
      <c r="B35" s="2" t="s">
        <v>91</v>
      </c>
      <c r="C35" s="7" t="n">
        <f aca="false">Inputs!$F$6</f>
        <v>2514</v>
      </c>
      <c r="D35" s="17" t="n">
        <f aca="false">C35*(1+Inputs!$F$8)</f>
        <v>2639.7</v>
      </c>
      <c r="E35" s="17" t="n">
        <f aca="false">D35*(1+Inputs!$F$8)</f>
        <v>2771.685</v>
      </c>
      <c r="F35" s="17" t="n">
        <f aca="false">E35*(1+Inputs!$F$8)</f>
        <v>2910.26925</v>
      </c>
      <c r="G35" s="17" t="n">
        <f aca="false">F35*(1+Inputs!$F$8)</f>
        <v>3055.7827125</v>
      </c>
      <c r="H35" s="17" t="n">
        <f aca="false">G35*(1+Inputs!$F$8)</f>
        <v>3208.571848125</v>
      </c>
      <c r="I35" s="17" t="n">
        <f aca="false">H35*(1+Inputs!$F$8)</f>
        <v>3369.00044053125</v>
      </c>
    </row>
    <row r="36" customFormat="false" ht="15" hidden="false" customHeight="false" outlineLevel="0" collapsed="false">
      <c r="A36" s="2" t="s">
        <v>269</v>
      </c>
      <c r="B36" s="2" t="s">
        <v>91</v>
      </c>
      <c r="C36" s="17" t="n">
        <f aca="false">Inputs!$F$6*(1+Inputs!$F$7)</f>
        <v>3035.1522</v>
      </c>
      <c r="D36" s="17" t="n">
        <f aca="false">Inputs!$F$6*(1+Inputs!$F$7)</f>
        <v>3035.1522</v>
      </c>
      <c r="E36" s="17" t="n">
        <f aca="false">Inputs!$F$6*(1+Inputs!$F$7)</f>
        <v>3035.1522</v>
      </c>
      <c r="F36" s="17" t="n">
        <f aca="false">Inputs!$F$6*(1+Inputs!$F$7)</f>
        <v>3035.1522</v>
      </c>
      <c r="G36" s="17" t="n">
        <f aca="false">Inputs!$F$6*(1+Inputs!$F$7)</f>
        <v>3035.1522</v>
      </c>
      <c r="H36" s="17" t="n">
        <f aca="false">Inputs!$F$6*(1+Inputs!$F$7)</f>
        <v>3035.1522</v>
      </c>
      <c r="I36" s="17" t="n">
        <f aca="false">Inputs!$F$6*(1+Inputs!$F$7)</f>
        <v>3035.1522</v>
      </c>
    </row>
    <row r="37" customFormat="false" ht="15" hidden="false" customHeight="false" outlineLevel="0" collapsed="false">
      <c r="A37" s="2" t="s">
        <v>270</v>
      </c>
      <c r="B37" s="2" t="s">
        <v>91</v>
      </c>
      <c r="C37" s="24" t="n">
        <f aca="false">IF(C$34&gt;=Inputs!$F$11,Inputs!$F$10,0)</f>
        <v>0</v>
      </c>
      <c r="D37" s="24" t="n">
        <f aca="false">IF(D$34&gt;=Inputs!$F$11,Inputs!$F$10,0)</f>
        <v>200</v>
      </c>
      <c r="E37" s="24" t="n">
        <f aca="false">IF(E$34&gt;=Inputs!$F$11,Inputs!$F$10,0)</f>
        <v>200</v>
      </c>
      <c r="F37" s="24" t="n">
        <f aca="false">IF(F$34&gt;=Inputs!$F$11,Inputs!$F$10,0)</f>
        <v>200</v>
      </c>
      <c r="G37" s="24" t="n">
        <f aca="false">IF(G$34&gt;=Inputs!$F$11,Inputs!$F$10,0)</f>
        <v>200</v>
      </c>
      <c r="H37" s="24" t="n">
        <f aca="false">IF(H$34&gt;=Inputs!$F$11,Inputs!$F$10,0)</f>
        <v>200</v>
      </c>
      <c r="I37" s="24" t="n">
        <f aca="false">IF(I$34&gt;=Inputs!$F$11,Inputs!$F$10,0)</f>
        <v>200</v>
      </c>
    </row>
    <row r="38" customFormat="false" ht="15" hidden="false" customHeight="false" outlineLevel="0" collapsed="false">
      <c r="A38" s="2" t="s">
        <v>271</v>
      </c>
      <c r="B38" s="2" t="s">
        <v>91</v>
      </c>
      <c r="C38" s="24" t="n">
        <f aca="false">IF(C$34&gt;=Inputs!$F$13,Inputs!$F$12,0)</f>
        <v>0</v>
      </c>
      <c r="D38" s="24" t="n">
        <f aca="false">IF(D$34&gt;=Inputs!$F$13,Inputs!$F$12,0)</f>
        <v>16</v>
      </c>
      <c r="E38" s="24" t="n">
        <f aca="false">IF(E$34&gt;=Inputs!$F$13,Inputs!$F$12,0)</f>
        <v>16</v>
      </c>
      <c r="F38" s="24" t="n">
        <f aca="false">IF(F$34&gt;=Inputs!$F$13,Inputs!$F$12,0)</f>
        <v>16</v>
      </c>
      <c r="G38" s="24" t="n">
        <f aca="false">IF(G$34&gt;=Inputs!$F$13,Inputs!$F$12,0)</f>
        <v>16</v>
      </c>
      <c r="H38" s="24" t="n">
        <f aca="false">IF(H$34&gt;=Inputs!$F$13,Inputs!$F$12,0)</f>
        <v>16</v>
      </c>
      <c r="I38" s="24" t="n">
        <f aca="false">IF(I$34&gt;=Inputs!$F$13,Inputs!$F$12,0)</f>
        <v>16</v>
      </c>
    </row>
    <row r="39" customFormat="false" ht="15" hidden="false" customHeight="false" outlineLevel="0" collapsed="false">
      <c r="A39" s="2" t="s">
        <v>272</v>
      </c>
      <c r="B39" s="2" t="s">
        <v>91</v>
      </c>
      <c r="C39" s="24" t="n">
        <f aca="false">IF(C$34&gt;=Inputs!$F$15,Inputs!$F$14,0)</f>
        <v>0</v>
      </c>
      <c r="D39" s="24" t="n">
        <f aca="false">IF(D$34&gt;=Inputs!$F$15,Inputs!$F$14,0)</f>
        <v>100</v>
      </c>
      <c r="E39" s="24" t="n">
        <f aca="false">IF(E$34&gt;=Inputs!$F$15,Inputs!$F$14,0)</f>
        <v>100</v>
      </c>
      <c r="F39" s="24" t="n">
        <f aca="false">IF(F$34&gt;=Inputs!$F$15,Inputs!$F$14,0)</f>
        <v>100</v>
      </c>
      <c r="G39" s="24" t="n">
        <f aca="false">IF(G$34&gt;=Inputs!$F$15,Inputs!$F$14,0)</f>
        <v>100</v>
      </c>
      <c r="H39" s="24" t="n">
        <f aca="false">IF(H$34&gt;=Inputs!$F$15,Inputs!$F$14,0)</f>
        <v>100</v>
      </c>
      <c r="I39" s="24" t="n">
        <f aca="false">IF(I$34&gt;=Inputs!$F$15,Inputs!$F$14,0)</f>
        <v>100</v>
      </c>
    </row>
    <row r="40" customFormat="false" ht="15" hidden="false" customHeight="false" outlineLevel="0" collapsed="false">
      <c r="A40" s="2" t="s">
        <v>273</v>
      </c>
      <c r="B40" s="2" t="s">
        <v>91</v>
      </c>
      <c r="C40" s="24" t="n">
        <f aca="false">IF(C$34&gt;=Inputs!$F$17,Inputs!$F$16,0)</f>
        <v>0</v>
      </c>
      <c r="D40" s="24" t="n">
        <f aca="false">IF(D$34&gt;=Inputs!$F$17,Inputs!$F$16,0)</f>
        <v>0</v>
      </c>
      <c r="E40" s="24" t="n">
        <f aca="false">IF(E$34&gt;=Inputs!$F$17,Inputs!$F$16,0)</f>
        <v>0</v>
      </c>
      <c r="F40" s="24" t="n">
        <f aca="false">IF(F$34&gt;=Inputs!$F$17,Inputs!$F$16,0)</f>
        <v>100</v>
      </c>
      <c r="G40" s="24" t="n">
        <f aca="false">IF(G$34&gt;=Inputs!$F$17,Inputs!$F$16,0)</f>
        <v>100</v>
      </c>
      <c r="H40" s="24" t="n">
        <f aca="false">IF(H$34&gt;=Inputs!$F$17,Inputs!$F$16,0)</f>
        <v>100</v>
      </c>
      <c r="I40" s="24" t="n">
        <f aca="false">IF(I$34&gt;=Inputs!$F$17,Inputs!$F$16,0)</f>
        <v>100</v>
      </c>
    </row>
    <row r="41" customFormat="false" ht="15" hidden="false" customHeight="false" outlineLevel="0" collapsed="false">
      <c r="A41" s="2" t="s">
        <v>274</v>
      </c>
      <c r="B41" s="2" t="s">
        <v>91</v>
      </c>
      <c r="C41" s="24" t="n">
        <f aca="false">IF(C$34&gt;=Inputs!$F$19,Inputs!$F$18,0)</f>
        <v>0</v>
      </c>
      <c r="D41" s="24" t="n">
        <f aca="false">IF(D$34&gt;=Inputs!$F$19,Inputs!$F$18,0)</f>
        <v>0</v>
      </c>
      <c r="E41" s="24" t="n">
        <f aca="false">IF(E$34&gt;=Inputs!$F$19,Inputs!$F$18,0)</f>
        <v>80.3</v>
      </c>
      <c r="F41" s="24" t="n">
        <f aca="false">IF(F$34&gt;=Inputs!$F$19,Inputs!$F$18,0)</f>
        <v>80.3</v>
      </c>
      <c r="G41" s="24" t="n">
        <f aca="false">IF(G$34&gt;=Inputs!$F$19,Inputs!$F$18,0)</f>
        <v>80.3</v>
      </c>
      <c r="H41" s="24" t="n">
        <f aca="false">IF(H$34&gt;=Inputs!$F$19,Inputs!$F$18,0)</f>
        <v>80.3</v>
      </c>
      <c r="I41" s="24" t="n">
        <f aca="false">IF(I$34&gt;=Inputs!$F$19,Inputs!$F$18,0)</f>
        <v>80.3</v>
      </c>
    </row>
    <row r="42" customFormat="false" ht="15" hidden="false" customHeight="false" outlineLevel="0" collapsed="false">
      <c r="A42" s="2" t="s">
        <v>275</v>
      </c>
      <c r="B42" s="2" t="s">
        <v>91</v>
      </c>
      <c r="C42" s="24" t="n">
        <f aca="false">IF(C$34&gt;=Inputs!$F$22,Inputs!$F$20*Inputs!$F$21,0)</f>
        <v>0</v>
      </c>
      <c r="D42" s="24" t="n">
        <f aca="false">IF(D$34&gt;=Inputs!$F$22,Inputs!$F$20*Inputs!$F$21,0)</f>
        <v>0</v>
      </c>
      <c r="E42" s="24" t="n">
        <f aca="false">IF(E$34&gt;=Inputs!$F$22,Inputs!$F$20*Inputs!$F$21,0)</f>
        <v>0</v>
      </c>
      <c r="F42" s="24" t="n">
        <f aca="false">IF(F$34&gt;=Inputs!$F$22,Inputs!$F$20*Inputs!$F$21,0)</f>
        <v>0</v>
      </c>
      <c r="G42" s="24" t="n">
        <f aca="false">IF(G$34&gt;=Inputs!$F$22,Inputs!$F$20*Inputs!$F$21,0)</f>
        <v>0</v>
      </c>
      <c r="H42" s="24" t="n">
        <f aca="false">IF(H$34&gt;=Inputs!$F$22,Inputs!$F$20*Inputs!$F$21,0)</f>
        <v>0</v>
      </c>
      <c r="I42" s="24" t="n">
        <f aca="false">IF(I$34&gt;=Inputs!$F$22,Inputs!$F$20*Inputs!$F$21,0)</f>
        <v>0</v>
      </c>
    </row>
    <row r="43" customFormat="false" ht="15" hidden="false" customHeight="false" outlineLevel="0" collapsed="false">
      <c r="A43" s="2" t="s">
        <v>276</v>
      </c>
      <c r="B43" s="2" t="s">
        <v>91</v>
      </c>
      <c r="C43" s="24" t="n">
        <f aca="false">Inputs!$F$23*MAX(0,C$34-Inputs!$F$24+1)</f>
        <v>0</v>
      </c>
      <c r="D43" s="24" t="n">
        <f aca="false">Inputs!$F$23*MAX(0,D$34-Inputs!$F$24+1)</f>
        <v>0</v>
      </c>
      <c r="E43" s="24" t="n">
        <f aca="false">Inputs!$F$23*MAX(0,E$34-Inputs!$F$24+1)</f>
        <v>0</v>
      </c>
      <c r="F43" s="24" t="n">
        <f aca="false">Inputs!$F$23*MAX(0,F$34-Inputs!$F$24+1)</f>
        <v>0</v>
      </c>
      <c r="G43" s="24" t="n">
        <f aca="false">Inputs!$F$23*MAX(0,G$34-Inputs!$F$24+1)</f>
        <v>300</v>
      </c>
      <c r="H43" s="24" t="n">
        <f aca="false">Inputs!$F$23*MAX(0,H$34-Inputs!$F$24+1)</f>
        <v>600</v>
      </c>
      <c r="I43" s="24" t="n">
        <f aca="false">Inputs!$F$23*MAX(0,I$34-Inputs!$F$24+1)</f>
        <v>900</v>
      </c>
    </row>
    <row r="44" customFormat="false" ht="15" hidden="false" customHeight="false" outlineLevel="0" collapsed="false">
      <c r="A44" s="3" t="s">
        <v>277</v>
      </c>
      <c r="B44" s="2" t="s">
        <v>91</v>
      </c>
      <c r="C44" s="41" t="n">
        <f aca="false">C36+SUM(C37:C43)</f>
        <v>3035.1522</v>
      </c>
      <c r="D44" s="41" t="n">
        <f aca="false">D36+SUM(D37:D43)</f>
        <v>3351.1522</v>
      </c>
      <c r="E44" s="41" t="n">
        <f aca="false">E36+SUM(E37:E43)</f>
        <v>3431.4522</v>
      </c>
      <c r="F44" s="41" t="n">
        <f aca="false">F36+SUM(F37:F43)</f>
        <v>3531.4522</v>
      </c>
      <c r="G44" s="41" t="n">
        <f aca="false">G36+SUM(G37:G43)</f>
        <v>3831.4522</v>
      </c>
      <c r="H44" s="41" t="n">
        <f aca="false">H36+SUM(H37:H43)</f>
        <v>4131.4522</v>
      </c>
      <c r="I44" s="41" t="n">
        <f aca="false">I36+SUM(I37:I43)</f>
        <v>4431.4522</v>
      </c>
    </row>
    <row r="45" customFormat="false" ht="15" hidden="false" customHeight="false" outlineLevel="0" collapsed="false">
      <c r="A45" s="3" t="s">
        <v>278</v>
      </c>
      <c r="B45" s="2" t="s">
        <v>96</v>
      </c>
      <c r="C45" s="42" t="n">
        <f aca="false">C44/C35-1</f>
        <v>0.2073</v>
      </c>
      <c r="D45" s="42" t="n">
        <f aca="false">D44/D35-1</f>
        <v>0.269520096980717</v>
      </c>
      <c r="E45" s="42" t="n">
        <f aca="false">E44/E35-1</f>
        <v>0.238038305218667</v>
      </c>
      <c r="F45" s="42" t="n">
        <f aca="false">F44/F35-1</f>
        <v>0.21344518209097</v>
      </c>
      <c r="G45" s="42" t="n">
        <f aca="false">G44/G35-1</f>
        <v>0.253836597846778</v>
      </c>
      <c r="H45" s="42" t="n">
        <f aca="false">H44/H35-1</f>
        <v>0.28762963572541</v>
      </c>
      <c r="I45" s="42" t="n">
        <f aca="false">I44/I35-1</f>
        <v>0.315361122155631</v>
      </c>
    </row>
    <row r="46" customFormat="false" ht="15" hidden="false" customHeight="false" outlineLevel="0" collapsed="false">
      <c r="A46" s="2" t="s">
        <v>279</v>
      </c>
      <c r="B46" s="2" t="s">
        <v>91</v>
      </c>
      <c r="C46" s="17" t="n">
        <f aca="false">C44-C35</f>
        <v>521.1522</v>
      </c>
      <c r="D46" s="17" t="n">
        <f aca="false">D44-D35</f>
        <v>711.4522</v>
      </c>
      <c r="E46" s="17" t="n">
        <f aca="false">E44-E35</f>
        <v>659.7672</v>
      </c>
      <c r="F46" s="17" t="n">
        <f aca="false">F44-F35</f>
        <v>621.182949999999</v>
      </c>
      <c r="G46" s="17" t="n">
        <f aca="false">G44-G35</f>
        <v>775.669487499999</v>
      </c>
      <c r="H46" s="17" t="n">
        <f aca="false">H44-H35</f>
        <v>922.880351874999</v>
      </c>
      <c r="I46" s="17" t="n">
        <f aca="false">I44-I35</f>
        <v>1062.45175946875</v>
      </c>
    </row>
    <row r="47" customFormat="false" ht="15" hidden="false" customHeight="false" outlineLevel="0" collapsed="false">
      <c r="A47" s="2" t="s">
        <v>280</v>
      </c>
      <c r="B47" s="2" t="s">
        <v>147</v>
      </c>
      <c r="D47" s="17" t="n">
        <f aca="false">D35-C35</f>
        <v>125.7</v>
      </c>
      <c r="E47" s="17" t="n">
        <f aca="false">E35-D35</f>
        <v>131.985</v>
      </c>
      <c r="F47" s="17" t="n">
        <f aca="false">F35-E35</f>
        <v>138.58425</v>
      </c>
      <c r="G47" s="17" t="n">
        <f aca="false">G35-F35</f>
        <v>145.5134625</v>
      </c>
      <c r="H47" s="17" t="n">
        <f aca="false">H35-G35</f>
        <v>152.789135625</v>
      </c>
      <c r="I47" s="17" t="n">
        <f aca="false">I35-H35</f>
        <v>160.42859240625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9" min="3" style="0" width="11"/>
  </cols>
  <sheetData>
    <row r="1" customFormat="false" ht="17.35" hidden="false" customHeight="false" outlineLevel="0" collapsed="false">
      <c r="A1" s="1" t="s">
        <v>283</v>
      </c>
    </row>
    <row r="2" customFormat="false" ht="15" hidden="false" customHeight="false" outlineLevel="0" collapsed="false">
      <c r="A2" s="4" t="s">
        <v>284</v>
      </c>
    </row>
    <row r="4" customFormat="false" ht="15" hidden="false" customHeight="false" outlineLevel="0" collapsed="false">
      <c r="A4" s="5" t="s">
        <v>36</v>
      </c>
      <c r="B4" s="6" t="s">
        <v>85</v>
      </c>
      <c r="C4" s="40" t="n">
        <v>2026</v>
      </c>
      <c r="D4" s="40" t="n">
        <v>2027</v>
      </c>
      <c r="E4" s="40" t="n">
        <v>2028</v>
      </c>
      <c r="F4" s="40" t="n">
        <v>2029</v>
      </c>
      <c r="G4" s="40" t="n">
        <v>2030</v>
      </c>
      <c r="H4" s="40" t="n">
        <v>2031</v>
      </c>
      <c r="I4" s="40" t="n">
        <v>2032</v>
      </c>
    </row>
    <row r="5" customFormat="false" ht="15" hidden="false" customHeight="false" outlineLevel="0" collapsed="false">
      <c r="A5" s="3" t="s">
        <v>285</v>
      </c>
      <c r="B5" s="2" t="s">
        <v>180</v>
      </c>
      <c r="C5" s="41" t="n">
        <f aca="false">Inputs!$D$28+(Inputs!$D$27*Inputs!$D$26-Inputs!$D$28)*(C$4-2026)/4</f>
        <v>45</v>
      </c>
      <c r="D5" s="41" t="n">
        <f aca="false">Inputs!$D$28+(Inputs!$D$27*Inputs!$D$26-Inputs!$D$28)*(D$4-2026)/4</f>
        <v>52.25</v>
      </c>
      <c r="E5" s="41" t="n">
        <f aca="false">Inputs!$D$28+(Inputs!$D$27*Inputs!$D$26-Inputs!$D$28)*(E$4-2026)/4</f>
        <v>59.5</v>
      </c>
      <c r="F5" s="41" t="n">
        <f aca="false">Inputs!$D$28+(Inputs!$D$27*Inputs!$D$26-Inputs!$D$28)*(F$4-2026)/4</f>
        <v>66.75</v>
      </c>
      <c r="G5" s="41" t="n">
        <f aca="false">Inputs!$D$28+(Inputs!$D$27*Inputs!$D$26-Inputs!$D$28)*(G$4-2026)/4</f>
        <v>74</v>
      </c>
      <c r="H5" s="41" t="n">
        <f aca="false">Inputs!$D$28+(Inputs!$D$27*Inputs!$D$26-Inputs!$D$28)*(H$4-2026)/4</f>
        <v>81.25</v>
      </c>
      <c r="I5" s="41" t="n">
        <f aca="false">Inputs!$D$28+(Inputs!$D$27*Inputs!$D$26-Inputs!$D$28)*(I$4-2026)/4</f>
        <v>88.5</v>
      </c>
    </row>
    <row r="6" customFormat="false" ht="15" hidden="false" customHeight="false" outlineLevel="0" collapsed="false">
      <c r="A6" s="2" t="s">
        <v>286</v>
      </c>
      <c r="B6" s="2" t="s">
        <v>180</v>
      </c>
      <c r="C6" s="17" t="n">
        <f aca="false">MAX(0,C5-C5)</f>
        <v>0</v>
      </c>
      <c r="D6" s="17" t="n">
        <f aca="false">MAX(0,D5-D5)</f>
        <v>0</v>
      </c>
      <c r="E6" s="17" t="n">
        <f aca="false">MAX(0,E5-E5)</f>
        <v>0</v>
      </c>
      <c r="F6" s="17" t="n">
        <f aca="false">MAX(0,F5-F5)</f>
        <v>0</v>
      </c>
      <c r="G6" s="17" t="n">
        <f aca="false">MAX(0,G5-G5)</f>
        <v>0</v>
      </c>
      <c r="H6" s="17" t="n">
        <f aca="false">MAX(0,H5-H5)</f>
        <v>0</v>
      </c>
      <c r="I6" s="17" t="n">
        <f aca="false">MAX(0,I5-I5)</f>
        <v>0</v>
      </c>
    </row>
    <row r="7" customFormat="false" ht="15" hidden="false" customHeight="false" outlineLevel="0" collapsed="false">
      <c r="A7" s="3" t="s">
        <v>287</v>
      </c>
      <c r="B7" s="2" t="s">
        <v>91</v>
      </c>
      <c r="C7" s="43" t="n">
        <f aca="false">C6*Inputs!$D$29*Inputs!$D$30</f>
        <v>0</v>
      </c>
      <c r="D7" s="43" t="n">
        <f aca="false">D6*Inputs!$D$29*Inputs!$D$30</f>
        <v>0</v>
      </c>
      <c r="E7" s="43" t="n">
        <f aca="false">E6*Inputs!$D$29*Inputs!$D$30</f>
        <v>0</v>
      </c>
      <c r="F7" s="43" t="n">
        <f aca="false">F6*Inputs!$D$29*Inputs!$D$30</f>
        <v>0</v>
      </c>
      <c r="G7" s="43" t="n">
        <f aca="false">G6*Inputs!$D$29*Inputs!$D$30</f>
        <v>0</v>
      </c>
      <c r="H7" s="43" t="n">
        <f aca="false">H6*Inputs!$D$29*Inputs!$D$30</f>
        <v>0</v>
      </c>
      <c r="I7" s="43" t="n">
        <f aca="false">I6*Inputs!$D$29*Inputs!$D$30</f>
        <v>0</v>
      </c>
    </row>
    <row r="8" customFormat="false" ht="15" hidden="false" customHeight="false" outlineLevel="0" collapsed="false">
      <c r="A8" s="2" t="s">
        <v>288</v>
      </c>
      <c r="B8" s="2" t="s">
        <v>289</v>
      </c>
      <c r="C8" s="24" t="n">
        <f aca="false">C5*Inputs!$E$30*Inputs!$E$32*12/1000</f>
        <v>60.75</v>
      </c>
      <c r="D8" s="24" t="n">
        <f aca="false">D5*Inputs!$E$30*Inputs!$E$32*12/1000</f>
        <v>70.5375</v>
      </c>
      <c r="E8" s="24" t="n">
        <f aca="false">E5*Inputs!$E$30*Inputs!$E$32*12/1000</f>
        <v>80.325</v>
      </c>
      <c r="F8" s="24" t="n">
        <f aca="false">F5*Inputs!$E$30*Inputs!$E$32*12/1000</f>
        <v>90.1125</v>
      </c>
      <c r="G8" s="24" t="n">
        <f aca="false">G5*Inputs!$E$30*Inputs!$E$32*12/1000</f>
        <v>99.9</v>
      </c>
      <c r="H8" s="24" t="n">
        <f aca="false">H5*Inputs!$E$30*Inputs!$E$32*12/1000</f>
        <v>109.6875</v>
      </c>
      <c r="I8" s="24" t="n">
        <f aca="false">I5*Inputs!$E$30*Inputs!$E$32*12/1000</f>
        <v>119.475</v>
      </c>
    </row>
    <row r="9" customFormat="false" ht="15" hidden="false" customHeight="false" outlineLevel="0" collapsed="false">
      <c r="A9" s="2" t="s">
        <v>290</v>
      </c>
      <c r="B9" s="2" t="s">
        <v>291</v>
      </c>
      <c r="C9" s="17" t="n">
        <f aca="false">(C5-Inputs!$E$28)*Inputs!$E$33</f>
        <v>0</v>
      </c>
      <c r="D9" s="17" t="n">
        <f aca="false">(D5-Inputs!$E$28)*Inputs!$E$33</f>
        <v>58</v>
      </c>
      <c r="E9" s="17" t="n">
        <f aca="false">(E5-Inputs!$E$28)*Inputs!$E$33</f>
        <v>116</v>
      </c>
      <c r="F9" s="17" t="n">
        <f aca="false">(F5-Inputs!$E$28)*Inputs!$E$33</f>
        <v>174</v>
      </c>
      <c r="G9" s="17" t="n">
        <f aca="false">(G5-Inputs!$E$28)*Inputs!$E$33</f>
        <v>232</v>
      </c>
      <c r="H9" s="17" t="n">
        <f aca="false">(H5-Inputs!$E$28)*Inputs!$E$33</f>
        <v>290</v>
      </c>
      <c r="I9" s="17" t="n">
        <f aca="false">(I5-Inputs!$E$28)*Inputs!$E$33</f>
        <v>348</v>
      </c>
    </row>
    <row r="11" customFormat="false" ht="15" hidden="false" customHeight="false" outlineLevel="0" collapsed="false">
      <c r="A11" s="5" t="s">
        <v>37</v>
      </c>
      <c r="B11" s="6" t="s">
        <v>85</v>
      </c>
      <c r="C11" s="40" t="n">
        <v>2026</v>
      </c>
      <c r="D11" s="40" t="n">
        <v>2027</v>
      </c>
      <c r="E11" s="40" t="n">
        <v>2028</v>
      </c>
      <c r="F11" s="40" t="n">
        <v>2029</v>
      </c>
      <c r="G11" s="40" t="n">
        <v>2030</v>
      </c>
      <c r="H11" s="40" t="n">
        <v>2031</v>
      </c>
      <c r="I11" s="40" t="n">
        <v>2032</v>
      </c>
    </row>
    <row r="12" customFormat="false" ht="15" hidden="false" customHeight="false" outlineLevel="0" collapsed="false">
      <c r="A12" s="3" t="s">
        <v>285</v>
      </c>
      <c r="B12" s="2" t="s">
        <v>180</v>
      </c>
      <c r="C12" s="41" t="n">
        <f aca="false">Inputs!$E$28+(Inputs!$E$27*Inputs!$E$26-Inputs!$E$28)*(C$11-2026)/4</f>
        <v>45</v>
      </c>
      <c r="D12" s="41" t="n">
        <f aca="false">Inputs!$E$28+(Inputs!$E$27*Inputs!$E$26-Inputs!$E$28)*(D$11-2026)/4</f>
        <v>89.25</v>
      </c>
      <c r="E12" s="41" t="n">
        <f aca="false">Inputs!$E$28+(Inputs!$E$27*Inputs!$E$26-Inputs!$E$28)*(E$11-2026)/4</f>
        <v>133.5</v>
      </c>
      <c r="F12" s="41" t="n">
        <f aca="false">Inputs!$E$28+(Inputs!$E$27*Inputs!$E$26-Inputs!$E$28)*(F$11-2026)/4</f>
        <v>177.75</v>
      </c>
      <c r="G12" s="41" t="n">
        <f aca="false">Inputs!$E$28+(Inputs!$E$27*Inputs!$E$26-Inputs!$E$28)*(G$11-2026)/4</f>
        <v>222</v>
      </c>
      <c r="H12" s="41" t="n">
        <f aca="false">Inputs!$E$28+(Inputs!$E$27*Inputs!$E$26-Inputs!$E$28)*(H$11-2026)/4</f>
        <v>266.25</v>
      </c>
      <c r="I12" s="41" t="n">
        <f aca="false">Inputs!$E$28+(Inputs!$E$27*Inputs!$E$26-Inputs!$E$28)*(I$11-2026)/4</f>
        <v>310.5</v>
      </c>
    </row>
    <row r="13" customFormat="false" ht="15" hidden="false" customHeight="false" outlineLevel="0" collapsed="false">
      <c r="A13" s="2" t="s">
        <v>286</v>
      </c>
      <c r="B13" s="2" t="s">
        <v>180</v>
      </c>
      <c r="C13" s="17" t="n">
        <f aca="false">MAX(0,C12-C5)</f>
        <v>0</v>
      </c>
      <c r="D13" s="17" t="n">
        <f aca="false">MAX(0,D12-D5)</f>
        <v>37</v>
      </c>
      <c r="E13" s="17" t="n">
        <f aca="false">MAX(0,E12-E5)</f>
        <v>74</v>
      </c>
      <c r="F13" s="17" t="n">
        <f aca="false">MAX(0,F12-F5)</f>
        <v>111</v>
      </c>
      <c r="G13" s="17" t="n">
        <f aca="false">MAX(0,G12-G5)</f>
        <v>148</v>
      </c>
      <c r="H13" s="17" t="n">
        <f aca="false">MAX(0,H12-H5)</f>
        <v>185</v>
      </c>
      <c r="I13" s="17" t="n">
        <f aca="false">MAX(0,I12-I5)</f>
        <v>222</v>
      </c>
    </row>
    <row r="14" customFormat="false" ht="15" hidden="false" customHeight="false" outlineLevel="0" collapsed="false">
      <c r="A14" s="3" t="s">
        <v>287</v>
      </c>
      <c r="B14" s="2" t="s">
        <v>91</v>
      </c>
      <c r="C14" s="43" t="n">
        <f aca="false">C13*Inputs!$E$29*Inputs!$E$30</f>
        <v>0</v>
      </c>
      <c r="D14" s="43" t="n">
        <f aca="false">D13*Inputs!$E$29*Inputs!$E$30</f>
        <v>38.85</v>
      </c>
      <c r="E14" s="43" t="n">
        <f aca="false">E13*Inputs!$E$29*Inputs!$E$30</f>
        <v>77.7</v>
      </c>
      <c r="F14" s="43" t="n">
        <f aca="false">F13*Inputs!$E$29*Inputs!$E$30</f>
        <v>116.55</v>
      </c>
      <c r="G14" s="43" t="n">
        <f aca="false">G13*Inputs!$E$29*Inputs!$E$30</f>
        <v>155.4</v>
      </c>
      <c r="H14" s="43" t="n">
        <f aca="false">H13*Inputs!$E$29*Inputs!$E$30</f>
        <v>194.25</v>
      </c>
      <c r="I14" s="43" t="n">
        <f aca="false">I13*Inputs!$E$29*Inputs!$E$30</f>
        <v>233.1</v>
      </c>
    </row>
    <row r="15" customFormat="false" ht="15" hidden="false" customHeight="false" outlineLevel="0" collapsed="false">
      <c r="A15" s="2" t="s">
        <v>288</v>
      </c>
      <c r="B15" s="2" t="s">
        <v>289</v>
      </c>
      <c r="C15" s="24" t="n">
        <f aca="false">C12*Inputs!$E$30*Inputs!$E$32*12/1000</f>
        <v>60.75</v>
      </c>
      <c r="D15" s="24" t="n">
        <f aca="false">D12*Inputs!$E$30*Inputs!$E$32*12/1000</f>
        <v>120.4875</v>
      </c>
      <c r="E15" s="24" t="n">
        <f aca="false">E12*Inputs!$E$30*Inputs!$E$32*12/1000</f>
        <v>180.225</v>
      </c>
      <c r="F15" s="24" t="n">
        <f aca="false">F12*Inputs!$E$30*Inputs!$E$32*12/1000</f>
        <v>239.9625</v>
      </c>
      <c r="G15" s="24" t="n">
        <f aca="false">G12*Inputs!$E$30*Inputs!$E$32*12/1000</f>
        <v>299.7</v>
      </c>
      <c r="H15" s="24" t="n">
        <f aca="false">H12*Inputs!$E$30*Inputs!$E$32*12/1000</f>
        <v>359.4375</v>
      </c>
      <c r="I15" s="24" t="n">
        <f aca="false">I12*Inputs!$E$30*Inputs!$E$32*12/1000</f>
        <v>419.175</v>
      </c>
    </row>
    <row r="16" customFormat="false" ht="15" hidden="false" customHeight="false" outlineLevel="0" collapsed="false">
      <c r="A16" s="2" t="s">
        <v>290</v>
      </c>
      <c r="B16" s="2" t="s">
        <v>291</v>
      </c>
      <c r="C16" s="17" t="n">
        <f aca="false">(C12-Inputs!$E$28)*Inputs!$E$33</f>
        <v>0</v>
      </c>
      <c r="D16" s="17" t="n">
        <f aca="false">(D12-Inputs!$E$28)*Inputs!$E$33</f>
        <v>354</v>
      </c>
      <c r="E16" s="17" t="n">
        <f aca="false">(E12-Inputs!$E$28)*Inputs!$E$33</f>
        <v>708</v>
      </c>
      <c r="F16" s="17" t="n">
        <f aca="false">(F12-Inputs!$E$28)*Inputs!$E$33</f>
        <v>1062</v>
      </c>
      <c r="G16" s="17" t="n">
        <f aca="false">(G12-Inputs!$E$28)*Inputs!$E$33</f>
        <v>1416</v>
      </c>
      <c r="H16" s="17" t="n">
        <f aca="false">(H12-Inputs!$E$28)*Inputs!$E$33</f>
        <v>1770</v>
      </c>
      <c r="I16" s="17" t="n">
        <f aca="false">(I12-Inputs!$E$28)*Inputs!$E$33</f>
        <v>2124</v>
      </c>
    </row>
    <row r="18" customFormat="false" ht="15" hidden="false" customHeight="false" outlineLevel="0" collapsed="false">
      <c r="A18" s="5" t="s">
        <v>38</v>
      </c>
      <c r="B18" s="6" t="s">
        <v>85</v>
      </c>
      <c r="C18" s="40" t="n">
        <v>2026</v>
      </c>
      <c r="D18" s="40" t="n">
        <v>2027</v>
      </c>
      <c r="E18" s="40" t="n">
        <v>2028</v>
      </c>
      <c r="F18" s="40" t="n">
        <v>2029</v>
      </c>
      <c r="G18" s="40" t="n">
        <v>2030</v>
      </c>
      <c r="H18" s="40" t="n">
        <v>2031</v>
      </c>
      <c r="I18" s="40" t="n">
        <v>2032</v>
      </c>
    </row>
    <row r="19" customFormat="false" ht="15" hidden="false" customHeight="false" outlineLevel="0" collapsed="false">
      <c r="A19" s="3" t="s">
        <v>285</v>
      </c>
      <c r="B19" s="2" t="s">
        <v>180</v>
      </c>
      <c r="C19" s="41" t="n">
        <f aca="false">Inputs!$F$28+(Inputs!$F$27*Inputs!$F$26-Inputs!$F$28)*(C$18-2026)/4</f>
        <v>45</v>
      </c>
      <c r="D19" s="41" t="n">
        <f aca="false">Inputs!$F$28+(Inputs!$F$27*Inputs!$F$26-Inputs!$F$28)*(D$18-2026)/4</f>
        <v>126.25</v>
      </c>
      <c r="E19" s="41" t="n">
        <f aca="false">Inputs!$F$28+(Inputs!$F$27*Inputs!$F$26-Inputs!$F$28)*(E$18-2026)/4</f>
        <v>207.5</v>
      </c>
      <c r="F19" s="41" t="n">
        <f aca="false">Inputs!$F$28+(Inputs!$F$27*Inputs!$F$26-Inputs!$F$28)*(F$18-2026)/4</f>
        <v>288.75</v>
      </c>
      <c r="G19" s="41" t="n">
        <f aca="false">Inputs!$F$28+(Inputs!$F$27*Inputs!$F$26-Inputs!$F$28)*(G$18-2026)/4</f>
        <v>370</v>
      </c>
      <c r="H19" s="41" t="n">
        <f aca="false">Inputs!$F$28+(Inputs!$F$27*Inputs!$F$26-Inputs!$F$28)*(H$18-2026)/4</f>
        <v>451.25</v>
      </c>
      <c r="I19" s="41" t="n">
        <f aca="false">Inputs!$F$28+(Inputs!$F$27*Inputs!$F$26-Inputs!$F$28)*(I$18-2026)/4</f>
        <v>532.5</v>
      </c>
    </row>
    <row r="20" customFormat="false" ht="15" hidden="false" customHeight="false" outlineLevel="0" collapsed="false">
      <c r="A20" s="2" t="s">
        <v>286</v>
      </c>
      <c r="B20" s="2" t="s">
        <v>180</v>
      </c>
      <c r="C20" s="17" t="n">
        <f aca="false">MAX(0,C19-C5)</f>
        <v>0</v>
      </c>
      <c r="D20" s="17" t="n">
        <f aca="false">MAX(0,D19-D5)</f>
        <v>74</v>
      </c>
      <c r="E20" s="17" t="n">
        <f aca="false">MAX(0,E19-E5)</f>
        <v>148</v>
      </c>
      <c r="F20" s="17" t="n">
        <f aca="false">MAX(0,F19-F5)</f>
        <v>222</v>
      </c>
      <c r="G20" s="17" t="n">
        <f aca="false">MAX(0,G19-G5)</f>
        <v>296</v>
      </c>
      <c r="H20" s="17" t="n">
        <f aca="false">MAX(0,H19-H5)</f>
        <v>370</v>
      </c>
      <c r="I20" s="17" t="n">
        <f aca="false">MAX(0,I19-I5)</f>
        <v>444</v>
      </c>
    </row>
    <row r="21" customFormat="false" ht="15" hidden="false" customHeight="false" outlineLevel="0" collapsed="false">
      <c r="A21" s="3" t="s">
        <v>287</v>
      </c>
      <c r="B21" s="2" t="s">
        <v>91</v>
      </c>
      <c r="C21" s="43" t="n">
        <f aca="false">C20*Inputs!$F$29*Inputs!$F$30</f>
        <v>0</v>
      </c>
      <c r="D21" s="43" t="n">
        <f aca="false">D20*Inputs!$F$29*Inputs!$F$30</f>
        <v>77.7</v>
      </c>
      <c r="E21" s="43" t="n">
        <f aca="false">E20*Inputs!$F$29*Inputs!$F$30</f>
        <v>155.4</v>
      </c>
      <c r="F21" s="43" t="n">
        <f aca="false">F20*Inputs!$F$29*Inputs!$F$30</f>
        <v>233.1</v>
      </c>
      <c r="G21" s="43" t="n">
        <f aca="false">G20*Inputs!$F$29*Inputs!$F$30</f>
        <v>310.8</v>
      </c>
      <c r="H21" s="43" t="n">
        <f aca="false">H20*Inputs!$F$29*Inputs!$F$30</f>
        <v>388.5</v>
      </c>
      <c r="I21" s="43" t="n">
        <f aca="false">I20*Inputs!$F$29*Inputs!$F$30</f>
        <v>466.2</v>
      </c>
    </row>
    <row r="22" customFormat="false" ht="15" hidden="false" customHeight="false" outlineLevel="0" collapsed="false">
      <c r="A22" s="2" t="s">
        <v>288</v>
      </c>
      <c r="B22" s="2" t="s">
        <v>289</v>
      </c>
      <c r="C22" s="24" t="n">
        <f aca="false">C19*Inputs!$E$30*Inputs!$E$32*12/1000</f>
        <v>60.75</v>
      </c>
      <c r="D22" s="24" t="n">
        <f aca="false">D19*Inputs!$E$30*Inputs!$E$32*12/1000</f>
        <v>170.4375</v>
      </c>
      <c r="E22" s="24" t="n">
        <f aca="false">E19*Inputs!$E$30*Inputs!$E$32*12/1000</f>
        <v>280.125</v>
      </c>
      <c r="F22" s="24" t="n">
        <f aca="false">F19*Inputs!$E$30*Inputs!$E$32*12/1000</f>
        <v>389.8125</v>
      </c>
      <c r="G22" s="24" t="n">
        <f aca="false">G19*Inputs!$E$30*Inputs!$E$32*12/1000</f>
        <v>499.5</v>
      </c>
      <c r="H22" s="24" t="n">
        <f aca="false">H19*Inputs!$E$30*Inputs!$E$32*12/1000</f>
        <v>609.1875</v>
      </c>
      <c r="I22" s="24" t="n">
        <f aca="false">I19*Inputs!$E$30*Inputs!$E$32*12/1000</f>
        <v>718.875</v>
      </c>
    </row>
    <row r="23" customFormat="false" ht="15" hidden="false" customHeight="false" outlineLevel="0" collapsed="false">
      <c r="A23" s="2" t="s">
        <v>290</v>
      </c>
      <c r="B23" s="2" t="s">
        <v>291</v>
      </c>
      <c r="C23" s="17" t="n">
        <f aca="false">(C19-Inputs!$E$28)*Inputs!$E$33</f>
        <v>0</v>
      </c>
      <c r="D23" s="17" t="n">
        <f aca="false">(D19-Inputs!$E$28)*Inputs!$E$33</f>
        <v>650</v>
      </c>
      <c r="E23" s="17" t="n">
        <f aca="false">(E19-Inputs!$E$28)*Inputs!$E$33</f>
        <v>1300</v>
      </c>
      <c r="F23" s="17" t="n">
        <f aca="false">(F19-Inputs!$E$28)*Inputs!$E$33</f>
        <v>1950</v>
      </c>
      <c r="G23" s="17" t="n">
        <f aca="false">(G19-Inputs!$E$28)*Inputs!$E$33</f>
        <v>2600</v>
      </c>
      <c r="H23" s="17" t="n">
        <f aca="false">(H19-Inputs!$E$28)*Inputs!$E$33</f>
        <v>3250</v>
      </c>
      <c r="I23" s="17" t="n">
        <f aca="false">(I19-Inputs!$E$28)*Inputs!$E$33</f>
        <v>3900</v>
      </c>
    </row>
    <row r="25" customFormat="false" ht="23.85" hidden="false" customHeight="false" outlineLevel="0" collapsed="false">
      <c r="A25" s="5" t="s">
        <v>292</v>
      </c>
      <c r="B25" s="6" t="s">
        <v>85</v>
      </c>
      <c r="C25" s="6" t="s">
        <v>36</v>
      </c>
      <c r="D25" s="6" t="s">
        <v>37</v>
      </c>
      <c r="E25" s="6" t="s">
        <v>38</v>
      </c>
    </row>
    <row r="26" customFormat="false" ht="15" hidden="false" customHeight="false" outlineLevel="0" collapsed="false">
      <c r="A26" s="2" t="s">
        <v>293</v>
      </c>
      <c r="B26" s="2" t="s">
        <v>180</v>
      </c>
      <c r="C26" s="17" t="n">
        <f aca="false">G5</f>
        <v>74</v>
      </c>
      <c r="D26" s="17" t="n">
        <f aca="false">G12</f>
        <v>222</v>
      </c>
      <c r="E26" s="17" t="n">
        <f aca="false">G19</f>
        <v>370</v>
      </c>
    </row>
    <row r="27" customFormat="false" ht="15" hidden="false" customHeight="false" outlineLevel="0" collapsed="false">
      <c r="A27" s="2" t="s">
        <v>294</v>
      </c>
      <c r="B27" s="2" t="s">
        <v>96</v>
      </c>
      <c r="C27" s="26" t="n">
        <f aca="false">C26/Inputs!$E$26</f>
        <v>0.04</v>
      </c>
      <c r="D27" s="26" t="n">
        <f aca="false">D26/Inputs!$E$26</f>
        <v>0.12</v>
      </c>
      <c r="E27" s="26" t="n">
        <f aca="false">E26/Inputs!$E$26</f>
        <v>0.2</v>
      </c>
    </row>
    <row r="28" customFormat="false" ht="15" hidden="false" customHeight="false" outlineLevel="0" collapsed="false">
      <c r="A28" s="2" t="s">
        <v>295</v>
      </c>
      <c r="B28" s="2" t="s">
        <v>289</v>
      </c>
      <c r="C28" s="17" t="n">
        <f aca="false">G8</f>
        <v>99.9</v>
      </c>
      <c r="D28" s="17" t="n">
        <f aca="false">G15</f>
        <v>299.7</v>
      </c>
      <c r="E28" s="17" t="n">
        <f aca="false">G22</f>
        <v>499.5</v>
      </c>
    </row>
    <row r="29" customFormat="false" ht="15" hidden="false" customHeight="false" outlineLevel="0" collapsed="false">
      <c r="A29" s="2" t="s">
        <v>296</v>
      </c>
      <c r="B29" s="2" t="s">
        <v>297</v>
      </c>
      <c r="C29" s="44" t="n">
        <f aca="false">G9/1000</f>
        <v>0.232</v>
      </c>
      <c r="D29" s="44" t="n">
        <f aca="false">G16/1000</f>
        <v>1.416</v>
      </c>
      <c r="E29" s="44" t="n">
        <f aca="false">G23/1000</f>
        <v>2.6</v>
      </c>
    </row>
    <row r="30" customFormat="false" ht="15" hidden="false" customHeight="false" outlineLevel="0" collapsed="false">
      <c r="A30" s="2" t="s">
        <v>298</v>
      </c>
      <c r="B30" s="2" t="s">
        <v>299</v>
      </c>
      <c r="C30" s="24" t="n">
        <f aca="false">C26/Inputs!$E$34</f>
        <v>2.11428571428571</v>
      </c>
      <c r="D30" s="24" t="n">
        <f aca="false">D26/Inputs!$E$34</f>
        <v>6.34285714285714</v>
      </c>
      <c r="E30" s="24" t="n">
        <f aca="false">E26/Inputs!$E$34</f>
        <v>10.5714285714286</v>
      </c>
    </row>
    <row r="31" customFormat="false" ht="15" hidden="false" customHeight="false" outlineLevel="0" collapsed="false">
      <c r="A31" s="2" t="s">
        <v>300</v>
      </c>
      <c r="B31" s="2" t="s">
        <v>182</v>
      </c>
      <c r="C31" s="17" t="n">
        <f aca="false">C30*Inputs!$E$35</f>
        <v>317.142857142857</v>
      </c>
      <c r="D31" s="17" t="n">
        <f aca="false">D30*Inputs!$E$35</f>
        <v>951.428571428571</v>
      </c>
      <c r="E31" s="17" t="n">
        <f aca="false">E30*Inputs!$E$35</f>
        <v>1585.71428571429</v>
      </c>
    </row>
    <row r="32" customFormat="false" ht="15" hidden="false" customHeight="false" outlineLevel="0" collapsed="false">
      <c r="A32" s="2" t="s">
        <v>301</v>
      </c>
      <c r="B32" s="2" t="s">
        <v>91</v>
      </c>
      <c r="C32" s="17" t="n">
        <f aca="false">G7</f>
        <v>0</v>
      </c>
      <c r="D32" s="17" t="n">
        <f aca="false">G14</f>
        <v>155.4</v>
      </c>
      <c r="E32" s="17" t="n">
        <f aca="false">G21</f>
        <v>310.8</v>
      </c>
    </row>
    <row r="33" customFormat="false" ht="15" hidden="false" customHeight="false" outlineLevel="0" collapsed="false">
      <c r="A33" s="2" t="s">
        <v>302</v>
      </c>
      <c r="B33" s="2" t="s">
        <v>303</v>
      </c>
      <c r="C33" s="36" t="n">
        <f aca="false">Inputs!$E$40*365*(Inputs!$E$38*Inputs!$E$39+(1/Inputs!$E$41-1)*Inputs!$E$42)</f>
        <v>188855.294117647</v>
      </c>
      <c r="D33" s="36" t="n">
        <f aca="false">Inputs!$E$40*365*(Inputs!$E$38*Inputs!$E$39+(1/Inputs!$E$41-1)*Inputs!$E$42)</f>
        <v>188855.294117647</v>
      </c>
      <c r="E33" s="36" t="n">
        <f aca="false">Inputs!$E$40*365*(Inputs!$E$38*Inputs!$E$39+(1/Inputs!$E$41-1)*Inputs!$E$42)</f>
        <v>188855.294117647</v>
      </c>
    </row>
    <row r="34" customFormat="false" ht="15" hidden="false" customHeight="false" outlineLevel="0" collapsed="false">
      <c r="A34" s="2" t="s">
        <v>304</v>
      </c>
      <c r="B34" s="2" t="s">
        <v>289</v>
      </c>
      <c r="C34" s="24" t="n">
        <f aca="false">C32*C33/1000000</f>
        <v>0</v>
      </c>
      <c r="D34" s="24" t="n">
        <f aca="false">D32*D33/1000000</f>
        <v>29.3481127058823</v>
      </c>
      <c r="E34" s="24" t="n">
        <f aca="false">E32*E33/1000000</f>
        <v>58.6962254117647</v>
      </c>
    </row>
    <row r="35" customFormat="false" ht="15" hidden="false" customHeight="false" outlineLevel="0" collapsed="false">
      <c r="A35" s="2" t="s">
        <v>305</v>
      </c>
      <c r="B35" s="2" t="s">
        <v>96</v>
      </c>
      <c r="C35" s="26" t="n">
        <f aca="false">IF(C28=0,0,C34/C28)</f>
        <v>0</v>
      </c>
      <c r="D35" s="26" t="n">
        <f aca="false">IF(D28=0,0,D34/D28)</f>
        <v>0.0979249673202614</v>
      </c>
      <c r="E35" s="26" t="n">
        <f aca="false">IF(E28=0,0,E34/E28)</f>
        <v>0.117509960784314</v>
      </c>
    </row>
    <row r="36" customFormat="false" ht="15" hidden="false" customHeight="false" outlineLevel="0" collapsed="false">
      <c r="A36" s="2" t="s">
        <v>306</v>
      </c>
      <c r="B36" s="2" t="s">
        <v>307</v>
      </c>
      <c r="C36" s="29" t="n">
        <f aca="false">C26*Inputs!$E$29*Inputs!$E$30*8760/1000000</f>
        <v>0.680652</v>
      </c>
      <c r="D36" s="29" t="n">
        <f aca="false">D26*Inputs!$E$29*Inputs!$E$30*8760/1000000</f>
        <v>2.041956</v>
      </c>
      <c r="E36" s="29" t="n">
        <f aca="false">E26*Inputs!$E$29*Inputs!$E$30*8760/1000000</f>
        <v>3.40326</v>
      </c>
    </row>
    <row r="37" customFormat="false" ht="15" hidden="false" customHeight="false" outlineLevel="0" collapsed="false">
      <c r="A37" s="2" t="s">
        <v>308</v>
      </c>
      <c r="B37" s="2" t="s">
        <v>291</v>
      </c>
      <c r="C37" s="18" t="n">
        <f aca="false">805</f>
        <v>805</v>
      </c>
      <c r="D37" s="18" t="n">
        <f aca="false">805</f>
        <v>805</v>
      </c>
      <c r="E37" s="18" t="n">
        <f aca="false">805</f>
        <v>805</v>
      </c>
    </row>
    <row r="38" customFormat="false" ht="15" hidden="false" customHeight="false" outlineLevel="0" collapsed="false">
      <c r="A38" s="2" t="s">
        <v>309</v>
      </c>
      <c r="B38" s="2" t="s">
        <v>164</v>
      </c>
      <c r="C38" s="38" t="n">
        <f aca="false">IF(C28=0,0,C37/C28)</f>
        <v>8.05805805805806</v>
      </c>
      <c r="D38" s="38" t="n">
        <f aca="false">IF(D28=0,0,D37/D28)</f>
        <v>2.68601935268602</v>
      </c>
      <c r="E38" s="38" t="n">
        <f aca="false">IF(E28=0,0,E37/E28)</f>
        <v>1.61161161161161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9" min="3" style="0" width="11"/>
  </cols>
  <sheetData>
    <row r="1" customFormat="false" ht="17.35" hidden="false" customHeight="false" outlineLevel="0" collapsed="false">
      <c r="A1" s="1" t="s">
        <v>310</v>
      </c>
    </row>
    <row r="2" customFormat="false" ht="15" hidden="false" customHeight="false" outlineLevel="0" collapsed="false">
      <c r="A2" s="4" t="s">
        <v>311</v>
      </c>
    </row>
    <row r="4" customFormat="false" ht="15" hidden="false" customHeight="false" outlineLevel="0" collapsed="false">
      <c r="A4" s="5" t="s">
        <v>312</v>
      </c>
      <c r="B4" s="6" t="s">
        <v>313</v>
      </c>
      <c r="C4" s="40" t="n">
        <v>2026</v>
      </c>
      <c r="D4" s="40" t="n">
        <v>2027</v>
      </c>
      <c r="E4" s="40" t="n">
        <v>2028</v>
      </c>
      <c r="F4" s="40" t="n">
        <v>2029</v>
      </c>
      <c r="G4" s="40" t="n">
        <v>2030</v>
      </c>
      <c r="H4" s="40" t="n">
        <v>2031</v>
      </c>
      <c r="I4" s="40" t="n">
        <v>2032</v>
      </c>
    </row>
    <row r="5" customFormat="false" ht="15" hidden="false" customHeight="false" outlineLevel="0" collapsed="false">
      <c r="A5" s="2" t="s">
        <v>23</v>
      </c>
      <c r="B5" s="2" t="s">
        <v>36</v>
      </c>
      <c r="C5" s="26" t="n">
        <f aca="false">(Grid!C14-Grid!C5-Hub!C7)/(Grid!C5+Hub!C7)</f>
        <v>-0.015</v>
      </c>
      <c r="D5" s="26" t="n">
        <f aca="false">(Grid!D14-Grid!D5-Hub!D7)/(Grid!D5+Hub!D7)</f>
        <v>-0.0879629629629631</v>
      </c>
      <c r="E5" s="26" t="n">
        <f aca="false">(Grid!E14-Grid!E5-Hub!E7)/(Grid!E5+Hub!E7)</f>
        <v>-0.0818596927166716</v>
      </c>
      <c r="F5" s="26" t="n">
        <f aca="false">(Grid!F14-Grid!F5-Hub!F7)/(Grid!F5+Hub!F7)</f>
        <v>-0.14987008584877</v>
      </c>
      <c r="G5" s="26" t="n">
        <f aca="false">(Grid!G14-Grid!G5-Hub!G7)/(Grid!G5+Hub!G7)</f>
        <v>-0.189364988239889</v>
      </c>
      <c r="H5" s="26" t="n">
        <f aca="false">(Grid!H14-Grid!H5-Hub!H7)/(Grid!H5+Hub!H7)</f>
        <v>-0.249412026148046</v>
      </c>
      <c r="I5" s="26" t="n">
        <f aca="false">(Grid!I14-Grid!I5-Hub!I7)/(Grid!I5+Hub!I7)</f>
        <v>-0.305011135322265</v>
      </c>
    </row>
    <row r="6" customFormat="false" ht="15" hidden="false" customHeight="false" outlineLevel="0" collapsed="false">
      <c r="A6" s="2" t="s">
        <v>23</v>
      </c>
      <c r="B6" s="2" t="s">
        <v>37</v>
      </c>
      <c r="C6" s="26" t="n">
        <f aca="false">(Grid!C14-Grid!C5-Hub!C14)/(Grid!C5+Hub!C14)</f>
        <v>-0.015</v>
      </c>
      <c r="D6" s="26" t="n">
        <f aca="false">(Grid!D14-Grid!D5-Hub!D14)/(Grid!D5+Hub!D14)</f>
        <v>-0.100828985065197</v>
      </c>
      <c r="E6" s="26" t="n">
        <f aca="false">(Grid!E14-Grid!E5-Hub!E14)/(Grid!E5+Hub!E14)</f>
        <v>-0.105560290835678</v>
      </c>
      <c r="F6" s="26" t="n">
        <f aca="false">(Grid!F14-Grid!F5-Hub!F14)/(Grid!F5+Hub!F14)</f>
        <v>-0.180046321101386</v>
      </c>
      <c r="G6" s="26" t="n">
        <f aca="false">(Grid!G14-Grid!G5-Hub!G14)/(Grid!G5+Hub!G14)</f>
        <v>-0.22459550655144</v>
      </c>
      <c r="H6" s="26" t="n">
        <f aca="false">(Grid!H14-Grid!H5-Hub!H14)/(Grid!H5+Hub!H14)</f>
        <v>-0.286911109123747</v>
      </c>
      <c r="I6" s="26" t="n">
        <f aca="false">(Grid!I14-Grid!I5-Hub!I14)/(Grid!I5+Hub!I14)</f>
        <v>-0.343377464697444</v>
      </c>
    </row>
    <row r="7" customFormat="false" ht="15" hidden="false" customHeight="false" outlineLevel="0" collapsed="false">
      <c r="A7" s="2" t="s">
        <v>23</v>
      </c>
      <c r="B7" s="2" t="s">
        <v>38</v>
      </c>
      <c r="C7" s="26" t="n">
        <f aca="false">(Grid!C14-Grid!C5-Hub!C21)/(Grid!C5+Hub!C21)</f>
        <v>-0.015</v>
      </c>
      <c r="D7" s="26" t="n">
        <f aca="false">(Grid!D14-Grid!D5-Hub!D21)/(Grid!D5+Hub!D21)</f>
        <v>-0.113337057168024</v>
      </c>
      <c r="E7" s="26" t="n">
        <f aca="false">(Grid!E14-Grid!E5-Hub!E21)/(Grid!E5+Hub!E21)</f>
        <v>-0.128068079536498</v>
      </c>
      <c r="F7" s="26" t="n">
        <f aca="false">(Grid!F14-Grid!F5-Hub!F21)/(Grid!F5+Hub!F21)</f>
        <v>-0.20815371888277</v>
      </c>
      <c r="G7" s="26" t="n">
        <f aca="false">(Grid!G14-Grid!G5-Hub!G21)/(Grid!G5+Hub!G21)</f>
        <v>-0.256891304446152</v>
      </c>
      <c r="H7" s="26" t="n">
        <f aca="false">(Grid!H14-Grid!H5-Hub!H21)/(Grid!H5+Hub!H21)</f>
        <v>-0.320841598473056</v>
      </c>
      <c r="I7" s="26" t="n">
        <f aca="false">(Grid!I14-Grid!I5-Hub!I21)/(Grid!I5+Hub!I21)</f>
        <v>-0.377729435841682</v>
      </c>
    </row>
    <row r="8" customFormat="false" ht="15" hidden="false" customHeight="false" outlineLevel="0" collapsed="false">
      <c r="A8" s="2" t="s">
        <v>24</v>
      </c>
      <c r="B8" s="2" t="s">
        <v>36</v>
      </c>
      <c r="C8" s="26" t="n">
        <f aca="false">(Grid!C29-Grid!C20-Hub!C7)/(Grid!C20+Hub!C7)</f>
        <v>0.0334000000000002</v>
      </c>
      <c r="D8" s="26" t="n">
        <f aca="false">(Grid!D29-Grid!D20-Hub!D7)/(Grid!D20+Hub!D7)</f>
        <v>0.0883531472579846</v>
      </c>
      <c r="E8" s="26" t="n">
        <f aca="false">(Grid!E29-Grid!E20-Hub!E7)/(Grid!E20+Hub!E7)</f>
        <v>0.0219278378009245</v>
      </c>
      <c r="F8" s="26" t="n">
        <f aca="false">(Grid!F29-Grid!F20-Hub!F7)/(Grid!F20+Hub!F7)</f>
        <v>-0.0140009095962256</v>
      </c>
      <c r="G8" s="26" t="n">
        <f aca="false">(Grid!G29-Grid!G20-Hub!G7)/(Grid!G20+Hub!G7)</f>
        <v>-0.0277995984755657</v>
      </c>
      <c r="H8" s="26" t="n">
        <f aca="false">(Grid!H29-Grid!H20-Hub!H7)/(Grid!H20+Hub!H7)</f>
        <v>-0.0435867972904223</v>
      </c>
      <c r="I8" s="26" t="n">
        <f aca="false">(Grid!I29-Grid!I20-Hub!I7)/(Grid!I20+Hub!I7)</f>
        <v>-0.0610683768679352</v>
      </c>
    </row>
    <row r="9" customFormat="false" ht="15" hidden="false" customHeight="false" outlineLevel="0" collapsed="false">
      <c r="A9" s="2" t="s">
        <v>24</v>
      </c>
      <c r="B9" s="2" t="s">
        <v>37</v>
      </c>
      <c r="C9" s="26" t="n">
        <f aca="false">(Grid!C29-Grid!C20-Hub!C14)/(Grid!C20+Hub!C14)</f>
        <v>0.0334000000000002</v>
      </c>
      <c r="D9" s="26" t="n">
        <f aca="false">(Grid!D29-Grid!D20-Hub!D14)/(Grid!D20+Hub!D14)</f>
        <v>0.0727866993586772</v>
      </c>
      <c r="E9" s="26" t="n">
        <f aca="false">(Grid!E29-Grid!E20-Hub!E14)/(Grid!E20+Hub!E14)</f>
        <v>-0.00518037425742089</v>
      </c>
      <c r="F9" s="26" t="n">
        <f aca="false">(Grid!F29-Grid!F20-Hub!F14)/(Grid!F20+Hub!F14)</f>
        <v>-0.050444288104111</v>
      </c>
      <c r="G9" s="26" t="n">
        <f aca="false">(Grid!G29-Grid!G20-Hub!G14)/(Grid!G20+Hub!G14)</f>
        <v>-0.0723715226112875</v>
      </c>
      <c r="H9" s="26" t="n">
        <f aca="false">(Grid!H29-Grid!H20-Hub!H14)/(Grid!H20+Hub!H14)</f>
        <v>-0.0946451220227515</v>
      </c>
      <c r="I9" s="26" t="n">
        <f aca="false">(Grid!I29-Grid!I20-Hub!I14)/(Grid!I20+Hub!I14)</f>
        <v>-0.117167693495777</v>
      </c>
    </row>
    <row r="10" customFormat="false" ht="15" hidden="false" customHeight="false" outlineLevel="0" collapsed="false">
      <c r="A10" s="2" t="s">
        <v>24</v>
      </c>
      <c r="B10" s="2" t="s">
        <v>38</v>
      </c>
      <c r="C10" s="26" t="n">
        <f aca="false">(Grid!C29-Grid!C20-Hub!C21)/(Grid!C20+Hub!C21)</f>
        <v>0.0334000000000002</v>
      </c>
      <c r="D10" s="26" t="n">
        <f aca="false">(Grid!D29-Grid!D20-Hub!D21)/(Grid!D20+Hub!D21)</f>
        <v>0.0576592586139939</v>
      </c>
      <c r="E10" s="26" t="n">
        <f aca="false">(Grid!E29-Grid!E20-Hub!E21)/(Grid!E20+Hub!E21)</f>
        <v>-0.0308875760052078</v>
      </c>
      <c r="F10" s="26" t="n">
        <f aca="false">(Grid!F29-Grid!F20-Hub!F21)/(Grid!F20+Hub!F21)</f>
        <v>-0.0842897310264711</v>
      </c>
      <c r="G10" s="26" t="n">
        <f aca="false">(Grid!G29-Grid!G20-Hub!G21)/(Grid!G20+Hub!G21)</f>
        <v>-0.113035676303177</v>
      </c>
      <c r="H10" s="26" t="n">
        <f aca="false">(Grid!H29-Grid!H20-Hub!H21)/(Grid!H20+Hub!H21)</f>
        <v>-0.140528208639734</v>
      </c>
      <c r="I10" s="26" t="n">
        <f aca="false">(Grid!I29-Grid!I20-Hub!I21)/(Grid!I20+Hub!I21)</f>
        <v>-0.166941310689851</v>
      </c>
    </row>
    <row r="11" customFormat="false" ht="15" hidden="false" customHeight="false" outlineLevel="0" collapsed="false">
      <c r="A11" s="2" t="s">
        <v>25</v>
      </c>
      <c r="B11" s="2" t="s">
        <v>36</v>
      </c>
      <c r="C11" s="26" t="n">
        <f aca="false">(Grid!C44-Grid!C35-Hub!C7)/(Grid!C35+Hub!C7)</f>
        <v>0.2073</v>
      </c>
      <c r="D11" s="26" t="n">
        <f aca="false">(Grid!D44-Grid!D35-Hub!D7)/(Grid!D35+Hub!D7)</f>
        <v>0.269520096980717</v>
      </c>
      <c r="E11" s="26" t="n">
        <f aca="false">(Grid!E44-Grid!E35-Hub!E7)/(Grid!E35+Hub!E7)</f>
        <v>0.238038305218667</v>
      </c>
      <c r="F11" s="26" t="n">
        <f aca="false">(Grid!F44-Grid!F35-Hub!F7)/(Grid!F35+Hub!F7)</f>
        <v>0.21344518209097</v>
      </c>
      <c r="G11" s="26" t="n">
        <f aca="false">(Grid!G44-Grid!G35-Hub!G7)/(Grid!G35+Hub!G7)</f>
        <v>0.253836597846778</v>
      </c>
      <c r="H11" s="26" t="n">
        <f aca="false">(Grid!H44-Grid!H35-Hub!H7)/(Grid!H35+Hub!H7)</f>
        <v>0.28762963572541</v>
      </c>
      <c r="I11" s="26" t="n">
        <f aca="false">(Grid!I44-Grid!I35-Hub!I7)/(Grid!I35+Hub!I7)</f>
        <v>0.31536112215563</v>
      </c>
    </row>
    <row r="12" customFormat="false" ht="15" hidden="false" customHeight="false" outlineLevel="0" collapsed="false">
      <c r="A12" s="2" t="s">
        <v>25</v>
      </c>
      <c r="B12" s="2" t="s">
        <v>37</v>
      </c>
      <c r="C12" s="26" t="n">
        <f aca="false">(Grid!C44-Grid!C35-Hub!C14)/(Grid!C35+Hub!C14)</f>
        <v>0.2073</v>
      </c>
      <c r="D12" s="26" t="n">
        <f aca="false">(Grid!D44-Grid!D35-Hub!D14)/(Grid!D35+Hub!D14)</f>
        <v>0.251106830187975</v>
      </c>
      <c r="E12" s="26" t="n">
        <f aca="false">(Grid!E44-Grid!E35-Hub!E14)/(Grid!E35+Hub!E14)</f>
        <v>0.204278186345474</v>
      </c>
      <c r="F12" s="26" t="n">
        <f aca="false">(Grid!F44-Grid!F35-Hub!F14)/(Grid!F35+Hub!F14)</f>
        <v>0.166720543355868</v>
      </c>
      <c r="G12" s="26" t="n">
        <f aca="false">(Grid!G44-Grid!G35-Hub!G14)/(Grid!G35+Hub!G14)</f>
        <v>0.19315920115212</v>
      </c>
      <c r="H12" s="26" t="n">
        <f aca="false">(Grid!H44-Grid!H35-Hub!H14)/(Grid!H35+Hub!H14)</f>
        <v>0.214125330209833</v>
      </c>
      <c r="I12" s="26" t="n">
        <f aca="false">(Grid!I44-Grid!I35-Hub!I14)/(Grid!I35+Hub!I14)</f>
        <v>0.230241153227374</v>
      </c>
    </row>
    <row r="13" customFormat="false" ht="15" hidden="false" customHeight="false" outlineLevel="0" collapsed="false">
      <c r="A13" s="2" t="s">
        <v>25</v>
      </c>
      <c r="B13" s="2" t="s">
        <v>38</v>
      </c>
      <c r="C13" s="26" t="n">
        <f aca="false">(Grid!C44-Grid!C35-Hub!C21)/(Grid!C35+Hub!C21)</f>
        <v>0.2073</v>
      </c>
      <c r="D13" s="26" t="n">
        <f aca="false">(Grid!D44-Grid!D35-Hub!D21)/(Grid!D35+Hub!D21)</f>
        <v>0.233220063295797</v>
      </c>
      <c r="E13" s="26" t="n">
        <f aca="false">(Grid!E44-Grid!E35-Hub!E21)/(Grid!E35+Hub!E21)</f>
        <v>0.172310404378417</v>
      </c>
      <c r="F13" s="26" t="n">
        <f aca="false">(Grid!F44-Grid!F35-Hub!F21)/(Grid!F35+Hub!F21)</f>
        <v>0.123460821537272</v>
      </c>
      <c r="G13" s="26" t="n">
        <f aca="false">(Grid!G44-Grid!G35-Hub!G21)/(Grid!G35+Hub!G21)</f>
        <v>0.138083489163642</v>
      </c>
      <c r="H13" s="26" t="n">
        <f aca="false">(Grid!H44-Grid!H35-Hub!H21)/(Grid!H35+Hub!H21)</f>
        <v>0.148559821554176</v>
      </c>
      <c r="I13" s="26" t="n">
        <f aca="false">(Grid!I44-Grid!I35-Hub!I21)/(Grid!I35+Hub!I21)</f>
        <v>0.155468213125819</v>
      </c>
    </row>
    <row r="15" customFormat="false" ht="23.85" hidden="false" customHeight="false" outlineLevel="0" collapsed="false">
      <c r="A15" s="5" t="s">
        <v>314</v>
      </c>
      <c r="B15" s="6" t="s">
        <v>315</v>
      </c>
      <c r="C15" s="6" t="s">
        <v>36</v>
      </c>
      <c r="D15" s="6" t="s">
        <v>37</v>
      </c>
      <c r="E15" s="6" t="s">
        <v>38</v>
      </c>
    </row>
    <row r="16" customFormat="false" ht="15" hidden="false" customHeight="false" outlineLevel="0" collapsed="false">
      <c r="A16" s="2"/>
      <c r="B16" s="3" t="s">
        <v>23</v>
      </c>
      <c r="C16" s="45" t="n">
        <f aca="false">G5</f>
        <v>-0.189364988239889</v>
      </c>
      <c r="D16" s="45" t="n">
        <f aca="false">G6</f>
        <v>-0.22459550655144</v>
      </c>
      <c r="E16" s="45" t="n">
        <f aca="false">G7</f>
        <v>-0.256891304446152</v>
      </c>
    </row>
    <row r="17" customFormat="false" ht="15" hidden="false" customHeight="false" outlineLevel="0" collapsed="false">
      <c r="A17" s="2"/>
      <c r="B17" s="3" t="s">
        <v>24</v>
      </c>
      <c r="C17" s="45" t="n">
        <f aca="false">G8</f>
        <v>-0.0277995984755657</v>
      </c>
      <c r="D17" s="45" t="n">
        <f aca="false">G9</f>
        <v>-0.0723715226112875</v>
      </c>
      <c r="E17" s="45" t="n">
        <f aca="false">G10</f>
        <v>-0.113035676303177</v>
      </c>
    </row>
    <row r="18" customFormat="false" ht="15" hidden="false" customHeight="false" outlineLevel="0" collapsed="false">
      <c r="A18" s="2"/>
      <c r="B18" s="3" t="s">
        <v>25</v>
      </c>
      <c r="C18" s="45" t="n">
        <f aca="false">G11</f>
        <v>0.253836597846778</v>
      </c>
      <c r="D18" s="45" t="n">
        <f aca="false">G12</f>
        <v>0.19315920115212</v>
      </c>
      <c r="E18" s="45" t="n">
        <f aca="false">G13</f>
        <v>0.138083489163642</v>
      </c>
    </row>
    <row r="20" customFormat="false" ht="23.85" hidden="false" customHeight="false" outlineLevel="0" collapsed="false">
      <c r="A20" s="5" t="s">
        <v>316</v>
      </c>
      <c r="B20" s="6" t="s">
        <v>315</v>
      </c>
      <c r="C20" s="6" t="s">
        <v>36</v>
      </c>
      <c r="D20" s="6" t="s">
        <v>37</v>
      </c>
      <c r="E20" s="6" t="s">
        <v>38</v>
      </c>
    </row>
    <row r="21" customFormat="false" ht="15" hidden="false" customHeight="false" outlineLevel="0" collapsed="false">
      <c r="A21" s="2"/>
      <c r="B21" s="3" t="s">
        <v>23</v>
      </c>
      <c r="C21" s="46" t="n">
        <f aca="false">MAX(0,(1+Inputs!$E$43)*(Grid!G5+Hub!G7)-Grid!G14)</f>
        <v>989.706169984001</v>
      </c>
      <c r="D21" s="46" t="n">
        <f aca="false">MAX(0,(1+Inputs!$E$43)*(Grid!G5+Hub!G14)-Grid!G14)</f>
        <v>1160.646169984</v>
      </c>
      <c r="E21" s="46" t="n">
        <f aca="false">MAX(0,(1+Inputs!$E$43)*(Grid!G5+Hub!G21)-Grid!G14)</f>
        <v>1331.586169984</v>
      </c>
    </row>
    <row r="22" customFormat="false" ht="15" hidden="false" customHeight="false" outlineLevel="0" collapsed="false">
      <c r="A22" s="2"/>
      <c r="B22" s="3" t="s">
        <v>24</v>
      </c>
      <c r="C22" s="46" t="n">
        <f aca="false">MAX(0,(1+Inputs!$E$43)*(Grid!G20+Hub!G7)-Grid!G29)</f>
        <v>413.326446018375</v>
      </c>
      <c r="D22" s="46" t="n">
        <f aca="false">MAX(0,(1+Inputs!$E$43)*(Grid!G20+Hub!G14)-Grid!G29)</f>
        <v>584.266446018375</v>
      </c>
      <c r="E22" s="46" t="n">
        <f aca="false">MAX(0,(1+Inputs!$E$43)*(Grid!G20+Hub!G21)-Grid!G29)</f>
        <v>755.206446018375</v>
      </c>
    </row>
    <row r="23" customFormat="false" ht="15" hidden="false" customHeight="false" outlineLevel="0" collapsed="false">
      <c r="A23" s="2"/>
      <c r="B23" s="3" t="s">
        <v>25</v>
      </c>
      <c r="C23" s="46" t="n">
        <f aca="false">MAX(0,(1+Inputs!$E$43)*(Grid!G35+Hub!G7)-Grid!G44)</f>
        <v>0</v>
      </c>
      <c r="D23" s="46" t="n">
        <f aca="false">MAX(0,(1+Inputs!$E$43)*(Grid!G35+Hub!G14)-Grid!G44)</f>
        <v>0</v>
      </c>
      <c r="E23" s="46" t="n">
        <f aca="false">MAX(0,(1+Inputs!$E$43)*(Grid!G35+Hub!G21)-Grid!G44)</f>
        <v>0</v>
      </c>
    </row>
    <row r="25" customFormat="false" ht="23.85" hidden="false" customHeight="false" outlineLevel="0" collapsed="false">
      <c r="A25" s="5" t="s">
        <v>317</v>
      </c>
      <c r="B25" s="6" t="s">
        <v>315</v>
      </c>
      <c r="C25" s="6" t="s">
        <v>36</v>
      </c>
      <c r="D25" s="6" t="s">
        <v>37</v>
      </c>
      <c r="E25" s="6" t="s">
        <v>38</v>
      </c>
    </row>
    <row r="26" customFormat="false" ht="15" hidden="false" customHeight="false" outlineLevel="0" collapsed="false">
      <c r="A26" s="2"/>
      <c r="B26" s="3" t="s">
        <v>23</v>
      </c>
      <c r="C26" s="46" t="n">
        <f aca="false">MAX(0,(1+Inputs!$E$44)*(Grid!G5+Hub!G7)-Grid!G14)</f>
        <v>1160.719632256</v>
      </c>
      <c r="D26" s="46" t="n">
        <f aca="false">MAX(0,(1+Inputs!$E$44)*(Grid!G5+Hub!G14)-Grid!G14)</f>
        <v>1339.429632256</v>
      </c>
      <c r="E26" s="46" t="n">
        <f aca="false">MAX(0,(1+Inputs!$E$44)*(Grid!G5+Hub!G21)-Grid!G14)</f>
        <v>1518.139632256</v>
      </c>
    </row>
    <row r="27" customFormat="false" ht="15" hidden="false" customHeight="false" outlineLevel="0" collapsed="false">
      <c r="A27" s="2"/>
      <c r="B27" s="3" t="s">
        <v>24</v>
      </c>
      <c r="C27" s="46" t="n">
        <f aca="false">MAX(0,(1+Inputs!$E$44)*(Grid!G20+Hub!G7)-Grid!G29)</f>
        <v>575.035266291936</v>
      </c>
      <c r="D27" s="46" t="n">
        <f aca="false">MAX(0,(1+Inputs!$E$44)*(Grid!G20+Hub!G14)-Grid!G29)</f>
        <v>753.745266291936</v>
      </c>
      <c r="E27" s="46" t="n">
        <f aca="false">MAX(0,(1+Inputs!$E$44)*(Grid!G20+Hub!G21)-Grid!G29)</f>
        <v>932.455266291936</v>
      </c>
    </row>
    <row r="28" customFormat="false" ht="15" hidden="false" customHeight="false" outlineLevel="0" collapsed="false">
      <c r="A28" s="2"/>
      <c r="B28" s="3" t="s">
        <v>25</v>
      </c>
      <c r="C28" s="46" t="n">
        <f aca="false">MAX(0,(1+Inputs!$E$44)*(Grid!G35+Hub!G7)-Grid!G44)</f>
        <v>0</v>
      </c>
      <c r="D28" s="46" t="n">
        <f aca="false">MAX(0,(1+Inputs!$E$44)*(Grid!G35+Hub!G14)-Grid!G44)</f>
        <v>0</v>
      </c>
      <c r="E28" s="46" t="n">
        <f aca="false">MAX(0,(1+Inputs!$E$44)*(Grid!G35+Hub!G21)-Grid!G44)</f>
        <v>40.1179193750004</v>
      </c>
    </row>
    <row r="30" customFormat="false" ht="23.85" hidden="false" customHeight="false" outlineLevel="0" collapsed="false">
      <c r="A30" s="5" t="s">
        <v>318</v>
      </c>
      <c r="B30" s="6" t="s">
        <v>315</v>
      </c>
      <c r="C30" s="6" t="s">
        <v>36</v>
      </c>
      <c r="D30" s="6" t="s">
        <v>37</v>
      </c>
      <c r="E30" s="6" t="s">
        <v>38</v>
      </c>
    </row>
    <row r="31" customFormat="false" ht="15" hidden="false" customHeight="false" outlineLevel="0" collapsed="false">
      <c r="A31" s="2"/>
      <c r="B31" s="3" t="s">
        <v>23</v>
      </c>
      <c r="C31" s="46" t="n">
        <f aca="false">Hub!G7*Inputs!$E$40</f>
        <v>0</v>
      </c>
      <c r="D31" s="46" t="n">
        <f aca="false">Hub!G14*Inputs!$E$40</f>
        <v>621.6</v>
      </c>
      <c r="E31" s="46" t="n">
        <f aca="false">Hub!G21*Inputs!$E$40</f>
        <v>1243.2</v>
      </c>
    </row>
    <row r="32" customFormat="false" ht="15" hidden="false" customHeight="false" outlineLevel="0" collapsed="false">
      <c r="A32" s="2"/>
      <c r="B32" s="3" t="s">
        <v>24</v>
      </c>
      <c r="C32" s="46" t="n">
        <f aca="false">Hub!G7*Inputs!$E$40</f>
        <v>0</v>
      </c>
      <c r="D32" s="46" t="n">
        <f aca="false">Hub!G14*Inputs!$E$40</f>
        <v>621.6</v>
      </c>
      <c r="E32" s="46" t="n">
        <f aca="false">Hub!G21*Inputs!$E$40</f>
        <v>1243.2</v>
      </c>
    </row>
    <row r="33" customFormat="false" ht="15" hidden="false" customHeight="false" outlineLevel="0" collapsed="false">
      <c r="A33" s="2"/>
      <c r="B33" s="3" t="s">
        <v>25</v>
      </c>
      <c r="C33" s="46" t="n">
        <f aca="false">Hub!G7*Inputs!$E$40</f>
        <v>0</v>
      </c>
      <c r="D33" s="46" t="n">
        <f aca="false">Hub!G14*Inputs!$E$40</f>
        <v>621.6</v>
      </c>
      <c r="E33" s="46" t="n">
        <f aca="false">Hub!G21*Inputs!$E$40</f>
        <v>1243.2</v>
      </c>
    </row>
    <row r="35" customFormat="false" ht="35.05" hidden="false" customHeight="false" outlineLevel="0" collapsed="false">
      <c r="A35" s="5" t="s">
        <v>319</v>
      </c>
      <c r="B35" s="6" t="s">
        <v>312</v>
      </c>
      <c r="C35" s="40" t="n">
        <v>2026</v>
      </c>
      <c r="D35" s="40" t="n">
        <v>2027</v>
      </c>
      <c r="E35" s="40" t="n">
        <v>2028</v>
      </c>
      <c r="F35" s="40" t="n">
        <v>2029</v>
      </c>
      <c r="G35" s="40" t="n">
        <v>2030</v>
      </c>
      <c r="H35" s="40" t="n">
        <v>2031</v>
      </c>
      <c r="I35" s="40" t="n">
        <v>2032</v>
      </c>
    </row>
    <row r="36" customFormat="false" ht="15" hidden="false" customHeight="false" outlineLevel="0" collapsed="false">
      <c r="B36" s="3" t="s">
        <v>23</v>
      </c>
      <c r="C36" s="46" t="n">
        <f aca="false">MAX(0,(Grid!C14/(1+Inputs!$E$43)-Grid!C5)/(Inputs!$E$29*Inputs!$E$30))</f>
        <v>0</v>
      </c>
      <c r="D36" s="46" t="n">
        <f aca="false">MAX(0,(Grid!D14/(1+Inputs!$E$43)-Grid!D5)/(Inputs!$E$29*Inputs!$E$30))</f>
        <v>0</v>
      </c>
      <c r="E36" s="46" t="n">
        <f aca="false">MAX(0,(Grid!E14/(1+Inputs!$E$43)-Grid!E5)/(Inputs!$E$29*Inputs!$E$30))</f>
        <v>0</v>
      </c>
      <c r="F36" s="46" t="n">
        <f aca="false">MAX(0,(Grid!F14/(1+Inputs!$E$43)-Grid!F5)/(Inputs!$E$29*Inputs!$E$30))</f>
        <v>0</v>
      </c>
      <c r="G36" s="46" t="n">
        <f aca="false">MAX(0,(Grid!G14/(1+Inputs!$E$43)-Grid!G5)/(Inputs!$E$29*Inputs!$E$30))</f>
        <v>0</v>
      </c>
      <c r="H36" s="46" t="n">
        <f aca="false">MAX(0,(Grid!H14/(1+Inputs!$E$43)-Grid!H5)/(Inputs!$E$29*Inputs!$E$30))</f>
        <v>0</v>
      </c>
      <c r="I36" s="46" t="n">
        <f aca="false">MAX(0,(Grid!I14/(1+Inputs!$E$43)-Grid!I5)/(Inputs!$E$29*Inputs!$E$30))</f>
        <v>0</v>
      </c>
    </row>
    <row r="37" customFormat="false" ht="15" hidden="false" customHeight="false" outlineLevel="0" collapsed="false">
      <c r="B37" s="3" t="s">
        <v>24</v>
      </c>
      <c r="C37" s="46" t="n">
        <f aca="false">MAX(0,(Grid!C29/(1+Inputs!$E$43)-Grid!C20)/(Inputs!$E$29*Inputs!$E$30))</f>
        <v>0</v>
      </c>
      <c r="D37" s="46" t="n">
        <f aca="false">MAX(0,(Grid!D29/(1+Inputs!$E$43)-Grid!D20)/(Inputs!$E$29*Inputs!$E$30))</f>
        <v>0</v>
      </c>
      <c r="E37" s="46" t="n">
        <f aca="false">MAX(0,(Grid!E29/(1+Inputs!$E$43)-Grid!E20)/(Inputs!$E$29*Inputs!$E$30))</f>
        <v>0</v>
      </c>
      <c r="F37" s="46" t="n">
        <f aca="false">MAX(0,(Grid!F29/(1+Inputs!$E$43)-Grid!F20)/(Inputs!$E$29*Inputs!$E$30))</f>
        <v>0</v>
      </c>
      <c r="G37" s="46" t="n">
        <f aca="false">MAX(0,(Grid!G29/(1+Inputs!$E$43)-Grid!G20)/(Inputs!$E$29*Inputs!$E$30))</f>
        <v>0</v>
      </c>
      <c r="H37" s="46" t="n">
        <f aca="false">MAX(0,(Grid!H29/(1+Inputs!$E$43)-Grid!H20)/(Inputs!$E$29*Inputs!$E$30))</f>
        <v>0</v>
      </c>
      <c r="I37" s="46" t="n">
        <f aca="false">MAX(0,(Grid!I29/(1+Inputs!$E$43)-Grid!I20)/(Inputs!$E$29*Inputs!$E$30))</f>
        <v>0</v>
      </c>
    </row>
    <row r="38" customFormat="false" ht="15" hidden="false" customHeight="false" outlineLevel="0" collapsed="false">
      <c r="B38" s="3" t="s">
        <v>25</v>
      </c>
      <c r="C38" s="46" t="n">
        <f aca="false">MAX(0,(Grid!C44/(1+Inputs!$E$43)-Grid!C35)/(Inputs!$E$29*Inputs!$E$30))</f>
        <v>233.551688311688</v>
      </c>
      <c r="D38" s="46" t="n">
        <f aca="false">MAX(0,(Grid!D44/(1+Inputs!$E$43)-Grid!D35)/(Inputs!$E$29*Inputs!$E$30))</f>
        <v>387.430476190476</v>
      </c>
      <c r="E38" s="46" t="n">
        <f aca="false">MAX(0,(Grid!E44/(1+Inputs!$E$43)-Grid!E35)/(Inputs!$E$29*Inputs!$E$30))</f>
        <v>331.254285714285</v>
      </c>
      <c r="F38" s="46" t="n">
        <f aca="false">MAX(0,(Grid!F44/(1+Inputs!$E$43)-Grid!F35)/(Inputs!$E$29*Inputs!$E$30))</f>
        <v>285.849372294372</v>
      </c>
      <c r="G38" s="46" t="n">
        <f aca="false">MAX(0,(Grid!G44/(1+Inputs!$E$43)-Grid!G35)/(Inputs!$E$29*Inputs!$E$30))</f>
        <v>407.005382034631</v>
      </c>
      <c r="H38" s="46" t="n">
        <f aca="false">MAX(0,(Grid!H44/(1+Inputs!$E$43)-Grid!H35)/(Inputs!$E$29*Inputs!$E$30))</f>
        <v>521.232179274891</v>
      </c>
      <c r="I38" s="46" t="n">
        <f aca="false">MAX(0,(Grid!I44/(1+Inputs!$E$43)-Grid!I35)/(Inputs!$E$29*Inputs!$E$30))</f>
        <v>628.18330339015</v>
      </c>
    </row>
    <row r="40" customFormat="false" ht="35.05" hidden="false" customHeight="false" outlineLevel="0" collapsed="false">
      <c r="A40" s="5" t="s">
        <v>320</v>
      </c>
      <c r="B40" s="6" t="s">
        <v>312</v>
      </c>
      <c r="C40" s="40" t="n">
        <v>2026</v>
      </c>
      <c r="D40" s="40" t="n">
        <v>2027</v>
      </c>
      <c r="E40" s="40" t="n">
        <v>2028</v>
      </c>
      <c r="F40" s="40" t="n">
        <v>2029</v>
      </c>
      <c r="G40" s="40" t="n">
        <v>2030</v>
      </c>
      <c r="H40" s="40" t="n">
        <v>2031</v>
      </c>
      <c r="I40" s="40" t="n">
        <v>2032</v>
      </c>
    </row>
    <row r="41" customFormat="false" ht="15" hidden="false" customHeight="false" outlineLevel="0" collapsed="false">
      <c r="B41" s="3" t="s">
        <v>23</v>
      </c>
      <c r="C41" s="17" t="n">
        <f aca="false">MAX(0,(Grid!C14/(1+Inputs!$E$44)-Grid!C5)/(Inputs!$E$29*Inputs!$E$30))</f>
        <v>0</v>
      </c>
      <c r="D41" s="17" t="n">
        <f aca="false">MAX(0,(Grid!D14/(1+Inputs!$E$44)-Grid!D5)/(Inputs!$E$29*Inputs!$E$30))</f>
        <v>0</v>
      </c>
      <c r="E41" s="17" t="n">
        <f aca="false">MAX(0,(Grid!E14/(1+Inputs!$E$44)-Grid!E5)/(Inputs!$E$29*Inputs!$E$30))</f>
        <v>0</v>
      </c>
      <c r="F41" s="17" t="n">
        <f aca="false">MAX(0,(Grid!F14/(1+Inputs!$E$44)-Grid!F5)/(Inputs!$E$29*Inputs!$E$30))</f>
        <v>0</v>
      </c>
      <c r="G41" s="17" t="n">
        <f aca="false">MAX(0,(Grid!G14/(1+Inputs!$E$44)-Grid!G5)/(Inputs!$E$29*Inputs!$E$30))</f>
        <v>0</v>
      </c>
      <c r="H41" s="17" t="n">
        <f aca="false">MAX(0,(Grid!H14/(1+Inputs!$E$44)-Grid!H5)/(Inputs!$E$29*Inputs!$E$30))</f>
        <v>0</v>
      </c>
      <c r="I41" s="17" t="n">
        <f aca="false">MAX(0,(Grid!I14/(1+Inputs!$E$44)-Grid!I5)/(Inputs!$E$29*Inputs!$E$30))</f>
        <v>0</v>
      </c>
    </row>
    <row r="42" customFormat="false" ht="15" hidden="false" customHeight="false" outlineLevel="0" collapsed="false">
      <c r="B42" s="3" t="s">
        <v>24</v>
      </c>
      <c r="C42" s="17" t="n">
        <f aca="false">MAX(0,(Grid!C29/(1+Inputs!$E$44)-Grid!C20)/(Inputs!$E$29*Inputs!$E$30))</f>
        <v>0</v>
      </c>
      <c r="D42" s="17" t="n">
        <f aca="false">MAX(0,(Grid!D29/(1+Inputs!$E$44)-Grid!D20)/(Inputs!$E$29*Inputs!$E$30))</f>
        <v>0</v>
      </c>
      <c r="E42" s="17" t="n">
        <f aca="false">MAX(0,(Grid!E29/(1+Inputs!$E$44)-Grid!E20)/(Inputs!$E$29*Inputs!$E$30))</f>
        <v>0</v>
      </c>
      <c r="F42" s="17" t="n">
        <f aca="false">MAX(0,(Grid!F29/(1+Inputs!$E$44)-Grid!F20)/(Inputs!$E$29*Inputs!$E$30))</f>
        <v>0</v>
      </c>
      <c r="G42" s="17" t="n">
        <f aca="false">MAX(0,(Grid!G29/(1+Inputs!$E$44)-Grid!G20)/(Inputs!$E$29*Inputs!$E$30))</f>
        <v>0</v>
      </c>
      <c r="H42" s="17" t="n">
        <f aca="false">MAX(0,(Grid!H29/(1+Inputs!$E$44)-Grid!H20)/(Inputs!$E$29*Inputs!$E$30))</f>
        <v>0</v>
      </c>
      <c r="I42" s="17" t="n">
        <f aca="false">MAX(0,(Grid!I29/(1+Inputs!$E$44)-Grid!I20)/(Inputs!$E$29*Inputs!$E$30))</f>
        <v>0</v>
      </c>
    </row>
    <row r="43" customFormat="false" ht="15" hidden="false" customHeight="false" outlineLevel="0" collapsed="false">
      <c r="B43" s="3" t="s">
        <v>25</v>
      </c>
      <c r="C43" s="17" t="n">
        <f aca="false">MAX(0,(Grid!C44/(1+Inputs!$E$44)-Grid!C35)/(Inputs!$E$29*Inputs!$E$30))</f>
        <v>119.297888198758</v>
      </c>
      <c r="D43" s="17" t="n">
        <f aca="false">MAX(0,(Grid!D44/(1+Inputs!$E$44)-Grid!D35)/(Inputs!$E$29*Inputs!$E$30))</f>
        <v>261.28132505176</v>
      </c>
      <c r="E43" s="17" t="n">
        <f aca="false">MAX(0,(Grid!E44/(1+Inputs!$E$44)-Grid!E35)/(Inputs!$E$29*Inputs!$E$30))</f>
        <v>202.082360248447</v>
      </c>
      <c r="F43" s="17" t="n">
        <f aca="false">MAX(0,(Grid!F44/(1+Inputs!$E$44)-Grid!F35)/(Inputs!$E$29*Inputs!$E$30))</f>
        <v>152.913095238095</v>
      </c>
      <c r="G43" s="17" t="n">
        <f aca="false">MAX(0,(Grid!G44/(1+Inputs!$E$44)-Grid!G35)/(Inputs!$E$29*Inputs!$E$30))</f>
        <v>262.776050207039</v>
      </c>
      <c r="H43" s="17" t="n">
        <f aca="false">MAX(0,(Grid!H44/(1+Inputs!$E$44)-Grid!H35)/(Inputs!$E$29*Inputs!$E$30))</f>
        <v>365.709792675982</v>
      </c>
      <c r="I43" s="17" t="n">
        <f aca="false">MAX(0,(Grid!I44/(1+Inputs!$E$44)-Grid!I35)/(Inputs!$E$29*Inputs!$E$30))</f>
        <v>461.367862019927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15" min="3" style="0" width="11"/>
  </cols>
  <sheetData>
    <row r="1" customFormat="false" ht="17.35" hidden="false" customHeight="false" outlineLevel="0" collapsed="false">
      <c r="A1" s="1" t="s">
        <v>321</v>
      </c>
    </row>
    <row r="2" customFormat="false" ht="15" hidden="false" customHeight="false" outlineLevel="0" collapsed="false">
      <c r="A2" s="4" t="s">
        <v>322</v>
      </c>
    </row>
    <row r="4" customFormat="false" ht="35.05" hidden="false" customHeight="false" outlineLevel="0" collapsed="false">
      <c r="A4" s="5" t="s">
        <v>323</v>
      </c>
      <c r="B4" s="6" t="s">
        <v>85</v>
      </c>
      <c r="C4" s="6" t="s">
        <v>23</v>
      </c>
      <c r="D4" s="6" t="s">
        <v>24</v>
      </c>
      <c r="E4" s="6" t="s">
        <v>25</v>
      </c>
      <c r="F4" s="6" t="s">
        <v>324</v>
      </c>
    </row>
    <row r="5" customFormat="false" ht="15" hidden="false" customHeight="false" outlineLevel="0" collapsed="false">
      <c r="A5" s="2" t="s">
        <v>59</v>
      </c>
      <c r="B5" s="2" t="s">
        <v>172</v>
      </c>
      <c r="C5" s="47" t="n">
        <f aca="false">Inputs!$D$32</f>
        <v>110</v>
      </c>
      <c r="D5" s="47" t="n">
        <f aca="false">Inputs!$E$32</f>
        <v>150</v>
      </c>
      <c r="E5" s="47" t="n">
        <f aca="false">Inputs!$F$32</f>
        <v>200</v>
      </c>
      <c r="F5" s="47" t="n">
        <f aca="false">Inputs!$E$32</f>
        <v>150</v>
      </c>
    </row>
    <row r="6" customFormat="false" ht="15" hidden="false" customHeight="false" outlineLevel="0" collapsed="false">
      <c r="A6" s="2" t="s">
        <v>325</v>
      </c>
      <c r="B6" s="2" t="s">
        <v>172</v>
      </c>
      <c r="C6" s="47" t="n">
        <f aca="false">Inputs!$D$29*730*Inputs!$D$36</f>
        <v>112.42</v>
      </c>
      <c r="D6" s="47" t="n">
        <f aca="false">Inputs!$E$29*730*Inputs!$E$36</f>
        <v>91.98</v>
      </c>
      <c r="E6" s="47" t="n">
        <f aca="false">Inputs!$F$29*730*Inputs!$F$36</f>
        <v>66.43</v>
      </c>
      <c r="F6" s="47" t="n">
        <f aca="false">Inputs!$E$29*730*Inputs!$E$37</f>
        <v>66.43</v>
      </c>
    </row>
    <row r="7" customFormat="false" ht="15" hidden="false" customHeight="false" outlineLevel="0" collapsed="false">
      <c r="A7" s="2" t="s">
        <v>326</v>
      </c>
      <c r="B7" s="2" t="s">
        <v>172</v>
      </c>
      <c r="C7" s="47" t="n">
        <f aca="false">Inputs!$D$29*Inputs!$D$40*365/12*(Inputs!$D$38*Inputs!$D$39+(1/Inputs!$D$41-1)*Inputs!$D$42)/1000</f>
        <v>22.0331176470588</v>
      </c>
      <c r="D7" s="47" t="n">
        <f aca="false">Inputs!$E$29*Inputs!$E$40*365/12*(Inputs!$E$38*Inputs!$E$39+(1/Inputs!$E$41-1)*Inputs!$E$42)/1000</f>
        <v>22.0331176470588</v>
      </c>
      <c r="E7" s="47" t="n">
        <f aca="false">Inputs!$F$29*Inputs!$F$40*365/12*(Inputs!$F$38*Inputs!$F$39+(1/Inputs!$F$41-1)*Inputs!$F$42)/1000</f>
        <v>22.0331176470588</v>
      </c>
      <c r="F7" s="47" t="n">
        <f aca="false">Inputs!$E$29*Inputs!$E$40*365/12*(Inputs!$E$38*Inputs!$E$39+(1/Inputs!$E$41-1)*Inputs!$E$42)/1000</f>
        <v>22.0331176470588</v>
      </c>
    </row>
    <row r="8" customFormat="false" ht="15" hidden="false" customHeight="false" outlineLevel="0" collapsed="false">
      <c r="A8" s="3" t="s">
        <v>327</v>
      </c>
      <c r="B8" s="2" t="s">
        <v>172</v>
      </c>
      <c r="C8" s="48" t="n">
        <f aca="false">SUM(C5:C7)</f>
        <v>244.453117647059</v>
      </c>
      <c r="D8" s="48" t="n">
        <f aca="false">SUM(D5:D7)</f>
        <v>264.013117647059</v>
      </c>
      <c r="E8" s="48" t="n">
        <f aca="false">SUM(E5:E7)</f>
        <v>288.463117647059</v>
      </c>
      <c r="F8" s="48" t="n">
        <f aca="false">SUM(F5:F7)</f>
        <v>238.463117647059</v>
      </c>
    </row>
    <row r="9" customFormat="false" ht="15" hidden="false" customHeight="false" outlineLevel="0" collapsed="false">
      <c r="A9" s="2" t="s">
        <v>328</v>
      </c>
      <c r="B9" s="2" t="s">
        <v>96</v>
      </c>
      <c r="C9" s="26" t="n">
        <f aca="false">(C6+C7)/C8</f>
        <v>0.550015966011046</v>
      </c>
      <c r="D9" s="26" t="n">
        <f aca="false">(D6+D7)/D8</f>
        <v>0.431846412266057</v>
      </c>
      <c r="E9" s="26" t="n">
        <f aca="false">(E6+E7)/E8</f>
        <v>0.306670462306018</v>
      </c>
      <c r="F9" s="26" t="n">
        <f aca="false">(F6+F7)/F8</f>
        <v>0.370971907605394</v>
      </c>
    </row>
    <row r="10" customFormat="false" ht="15" hidden="false" customHeight="false" outlineLevel="0" collapsed="false">
      <c r="A10" s="2" t="s">
        <v>329</v>
      </c>
      <c r="B10" s="2" t="s">
        <v>172</v>
      </c>
      <c r="C10" s="47" t="n">
        <f aca="false">C6-$F$6</f>
        <v>45.99</v>
      </c>
      <c r="D10" s="47" t="n">
        <f aca="false">D6-$F$6</f>
        <v>25.55</v>
      </c>
      <c r="E10" s="47" t="n">
        <f aca="false">E6-$F$6</f>
        <v>0</v>
      </c>
    </row>
    <row r="11" customFormat="false" ht="15" hidden="false" customHeight="false" outlineLevel="0" collapsed="false">
      <c r="A11" s="2" t="s">
        <v>330</v>
      </c>
      <c r="B11" s="2" t="s">
        <v>96</v>
      </c>
      <c r="C11" s="26" t="n">
        <f aca="false">C10/C8</f>
        <v>0.188134233846837</v>
      </c>
      <c r="D11" s="26" t="n">
        <f aca="false">D10/D8</f>
        <v>0.0967754944440149</v>
      </c>
      <c r="E11" s="26" t="n">
        <f aca="false">E10/E8</f>
        <v>0</v>
      </c>
    </row>
    <row r="13" customFormat="false" ht="15" hidden="false" customHeight="false" outlineLevel="0" collapsed="false">
      <c r="A13" s="5" t="s">
        <v>331</v>
      </c>
      <c r="B13" s="6" t="s">
        <v>85</v>
      </c>
      <c r="C13" s="6" t="s">
        <v>332</v>
      </c>
      <c r="D13" s="6" t="s">
        <v>333</v>
      </c>
      <c r="E13" s="6" t="s">
        <v>334</v>
      </c>
      <c r="F13" s="6" t="s">
        <v>335</v>
      </c>
      <c r="G13" s="6" t="s">
        <v>336</v>
      </c>
      <c r="H13" s="6" t="s">
        <v>337</v>
      </c>
      <c r="I13" s="6" t="s">
        <v>338</v>
      </c>
      <c r="J13" s="6" t="s">
        <v>339</v>
      </c>
      <c r="K13" s="6" t="s">
        <v>340</v>
      </c>
      <c r="L13" s="6" t="s">
        <v>341</v>
      </c>
      <c r="M13" s="6" t="s">
        <v>342</v>
      </c>
      <c r="N13" s="6" t="s">
        <v>343</v>
      </c>
    </row>
    <row r="14" customFormat="false" ht="15" hidden="false" customHeight="false" outlineLevel="0" collapsed="false">
      <c r="A14" s="2" t="s">
        <v>344</v>
      </c>
      <c r="C14" s="22" t="n">
        <v>0</v>
      </c>
      <c r="D14" s="22" t="n">
        <v>1</v>
      </c>
      <c r="E14" s="22" t="n">
        <v>2</v>
      </c>
      <c r="F14" s="22" t="n">
        <v>3</v>
      </c>
      <c r="G14" s="22" t="n">
        <v>4</v>
      </c>
      <c r="H14" s="22" t="n">
        <v>5</v>
      </c>
      <c r="I14" s="22" t="n">
        <v>6</v>
      </c>
      <c r="J14" s="22" t="n">
        <v>7</v>
      </c>
      <c r="K14" s="22" t="n">
        <v>8</v>
      </c>
      <c r="L14" s="22" t="n">
        <v>9</v>
      </c>
      <c r="M14" s="22" t="n">
        <v>10</v>
      </c>
      <c r="N14" s="22" t="n">
        <v>11</v>
      </c>
    </row>
    <row r="15" customFormat="false" ht="15" hidden="false" customHeight="false" outlineLevel="0" collapsed="false">
      <c r="A15" s="2" t="s">
        <v>345</v>
      </c>
      <c r="C15" s="23" t="n">
        <f aca="false">Inputs!$E$54+C14</f>
        <v>2027</v>
      </c>
      <c r="D15" s="23" t="n">
        <f aca="false">Inputs!$E$54+D14</f>
        <v>2028</v>
      </c>
      <c r="E15" s="23" t="n">
        <f aca="false">Inputs!$E$54+E14</f>
        <v>2029</v>
      </c>
      <c r="F15" s="23" t="n">
        <f aca="false">Inputs!$E$54+F14</f>
        <v>2030</v>
      </c>
      <c r="G15" s="23" t="n">
        <f aca="false">Inputs!$E$54+G14</f>
        <v>2031</v>
      </c>
      <c r="H15" s="23" t="n">
        <f aca="false">Inputs!$E$54+H14</f>
        <v>2032</v>
      </c>
      <c r="I15" s="23" t="n">
        <f aca="false">Inputs!$E$54+I14</f>
        <v>2033</v>
      </c>
      <c r="J15" s="23" t="n">
        <f aca="false">Inputs!$E$54+J14</f>
        <v>2034</v>
      </c>
      <c r="K15" s="23" t="n">
        <f aca="false">Inputs!$E$54+K14</f>
        <v>2035</v>
      </c>
      <c r="L15" s="23" t="n">
        <f aca="false">Inputs!$E$54+L14</f>
        <v>2036</v>
      </c>
      <c r="M15" s="23" t="n">
        <f aca="false">Inputs!$E$54+M14</f>
        <v>2037</v>
      </c>
      <c r="N15" s="23" t="n">
        <f aca="false">Inputs!$E$54+N14</f>
        <v>2038</v>
      </c>
    </row>
    <row r="16" customFormat="false" ht="15" hidden="false" customHeight="false" outlineLevel="0" collapsed="false">
      <c r="A16" s="2" t="s">
        <v>346</v>
      </c>
      <c r="B16" s="2" t="s">
        <v>91</v>
      </c>
      <c r="C16" s="17" t="n">
        <f aca="false">Inputs!$E$46+IF(C14&gt;=Inputs!$E$48,Inputs!$E$47,0)</f>
        <v>22</v>
      </c>
      <c r="D16" s="17" t="n">
        <f aca="false">Inputs!$E$46+IF(D14&gt;=Inputs!$E$48,Inputs!$E$47,0)</f>
        <v>22</v>
      </c>
      <c r="E16" s="17" t="n">
        <f aca="false">Inputs!$E$46+IF(E14&gt;=Inputs!$E$48,Inputs!$E$47,0)</f>
        <v>44</v>
      </c>
      <c r="F16" s="17" t="n">
        <f aca="false">Inputs!$E$46+IF(F14&gt;=Inputs!$E$48,Inputs!$E$47,0)</f>
        <v>44</v>
      </c>
      <c r="G16" s="17" t="n">
        <f aca="false">Inputs!$E$46+IF(G14&gt;=Inputs!$E$48,Inputs!$E$47,0)</f>
        <v>44</v>
      </c>
      <c r="H16" s="17" t="n">
        <f aca="false">Inputs!$E$46+IF(H14&gt;=Inputs!$E$48,Inputs!$E$47,0)</f>
        <v>44</v>
      </c>
      <c r="I16" s="17" t="n">
        <f aca="false">Inputs!$E$46+IF(I14&gt;=Inputs!$E$48,Inputs!$E$47,0)</f>
        <v>44</v>
      </c>
      <c r="J16" s="17" t="n">
        <f aca="false">Inputs!$E$46+IF(J14&gt;=Inputs!$E$48,Inputs!$E$47,0)</f>
        <v>44</v>
      </c>
      <c r="K16" s="17" t="n">
        <f aca="false">Inputs!$E$46+IF(K14&gt;=Inputs!$E$48,Inputs!$E$47,0)</f>
        <v>44</v>
      </c>
      <c r="L16" s="17" t="n">
        <f aca="false">Inputs!$E$46+IF(L14&gt;=Inputs!$E$48,Inputs!$E$47,0)</f>
        <v>44</v>
      </c>
      <c r="M16" s="17" t="n">
        <f aca="false">Inputs!$E$46+IF(M14&gt;=Inputs!$E$48,Inputs!$E$47,0)</f>
        <v>44</v>
      </c>
      <c r="N16" s="17" t="n">
        <f aca="false">Inputs!$E$46+IF(N14&gt;=Inputs!$E$48,Inputs!$E$47,0)</f>
        <v>44</v>
      </c>
    </row>
    <row r="17" customFormat="false" ht="15" hidden="false" customHeight="false" outlineLevel="0" collapsed="false">
      <c r="A17" s="2" t="s">
        <v>347</v>
      </c>
      <c r="B17" s="2" t="s">
        <v>91</v>
      </c>
      <c r="C17" s="18" t="n">
        <v>8</v>
      </c>
      <c r="D17" s="18" t="n">
        <v>15</v>
      </c>
      <c r="E17" s="18" t="n">
        <v>22</v>
      </c>
      <c r="F17" s="18" t="n">
        <v>28</v>
      </c>
      <c r="G17" s="18" t="n">
        <v>33</v>
      </c>
      <c r="H17" s="18" t="n">
        <v>33</v>
      </c>
      <c r="I17" s="18" t="n">
        <v>33</v>
      </c>
      <c r="J17" s="18" t="n">
        <v>33</v>
      </c>
      <c r="K17" s="18" t="n">
        <v>33</v>
      </c>
      <c r="L17" s="18" t="n">
        <v>33</v>
      </c>
      <c r="M17" s="18" t="n">
        <v>33</v>
      </c>
      <c r="N17" s="18" t="n">
        <v>33</v>
      </c>
    </row>
    <row r="18" customFormat="false" ht="15" hidden="false" customHeight="false" outlineLevel="0" collapsed="false">
      <c r="A18" s="2" t="s">
        <v>348</v>
      </c>
      <c r="B18" s="2" t="s">
        <v>91</v>
      </c>
      <c r="C18" s="17" t="n">
        <f aca="false">MIN(C17,C16)</f>
        <v>8</v>
      </c>
      <c r="D18" s="17" t="n">
        <f aca="false">MIN(D17,D16)</f>
        <v>15</v>
      </c>
      <c r="E18" s="17" t="n">
        <f aca="false">MIN(E17,E16)</f>
        <v>22</v>
      </c>
      <c r="F18" s="17" t="n">
        <f aca="false">MIN(F17,F16)</f>
        <v>28</v>
      </c>
      <c r="G18" s="17" t="n">
        <f aca="false">MIN(G17,G16)</f>
        <v>33</v>
      </c>
      <c r="H18" s="17" t="n">
        <f aca="false">MIN(H17,H16)</f>
        <v>33</v>
      </c>
      <c r="I18" s="17" t="n">
        <f aca="false">MIN(I17,I16)</f>
        <v>33</v>
      </c>
      <c r="J18" s="17" t="n">
        <f aca="false">MIN(J17,J16)</f>
        <v>33</v>
      </c>
      <c r="K18" s="17" t="n">
        <f aca="false">MIN(K17,K16)</f>
        <v>33</v>
      </c>
      <c r="L18" s="17" t="n">
        <f aca="false">MIN(L17,L16)</f>
        <v>33</v>
      </c>
      <c r="M18" s="17" t="n">
        <f aca="false">MIN(M17,M16)</f>
        <v>33</v>
      </c>
      <c r="N18" s="17" t="n">
        <f aca="false">MIN(N17,N16)</f>
        <v>33</v>
      </c>
    </row>
    <row r="19" customFormat="false" ht="15" hidden="false" customHeight="false" outlineLevel="0" collapsed="false">
      <c r="A19" s="2" t="s">
        <v>349</v>
      </c>
      <c r="B19" s="2" t="s">
        <v>291</v>
      </c>
      <c r="C19" s="24" t="n">
        <f aca="false">C18*Inputs!$E$32*12/1000</f>
        <v>14.4</v>
      </c>
      <c r="D19" s="24" t="n">
        <f aca="false">D18*Inputs!$E$32*12/1000</f>
        <v>27</v>
      </c>
      <c r="E19" s="24" t="n">
        <f aca="false">E18*Inputs!$E$32*12/1000</f>
        <v>39.6</v>
      </c>
      <c r="F19" s="24" t="n">
        <f aca="false">F18*Inputs!$E$32*12/1000</f>
        <v>50.4</v>
      </c>
      <c r="G19" s="24" t="n">
        <f aca="false">G18*Inputs!$E$32*12/1000</f>
        <v>59.4</v>
      </c>
      <c r="H19" s="24" t="n">
        <f aca="false">H18*Inputs!$E$32*12/1000</f>
        <v>59.4</v>
      </c>
      <c r="I19" s="24" t="n">
        <f aca="false">I18*Inputs!$E$32*12/1000</f>
        <v>59.4</v>
      </c>
      <c r="J19" s="24" t="n">
        <f aca="false">J18*Inputs!$E$32*12/1000</f>
        <v>59.4</v>
      </c>
      <c r="K19" s="24" t="n">
        <f aca="false">K18*Inputs!$E$32*12/1000</f>
        <v>59.4</v>
      </c>
      <c r="L19" s="24" t="n">
        <f aca="false">L18*Inputs!$E$32*12/1000</f>
        <v>59.4</v>
      </c>
      <c r="M19" s="24" t="n">
        <f aca="false">M18*Inputs!$E$32*12/1000</f>
        <v>59.4</v>
      </c>
      <c r="N19" s="24" t="n">
        <f aca="false">N18*Inputs!$E$32*12/1000</f>
        <v>59.4</v>
      </c>
    </row>
    <row r="20" customFormat="false" ht="15" hidden="false" customHeight="false" outlineLevel="0" collapsed="false">
      <c r="A20" s="2" t="s">
        <v>350</v>
      </c>
      <c r="B20" s="2" t="s">
        <v>291</v>
      </c>
      <c r="C20" s="24" t="n">
        <f aca="false">-C19*Inputs!$E$50</f>
        <v>-2.88</v>
      </c>
      <c r="D20" s="24" t="n">
        <f aca="false">-D19*Inputs!$E$50</f>
        <v>-5.4</v>
      </c>
      <c r="E20" s="24" t="n">
        <f aca="false">-E19*Inputs!$E$50</f>
        <v>-7.92</v>
      </c>
      <c r="F20" s="24" t="n">
        <f aca="false">-F19*Inputs!$E$50</f>
        <v>-10.08</v>
      </c>
      <c r="G20" s="24" t="n">
        <f aca="false">-G19*Inputs!$E$50</f>
        <v>-11.88</v>
      </c>
      <c r="H20" s="24" t="n">
        <f aca="false">-H19*Inputs!$E$50</f>
        <v>-11.88</v>
      </c>
      <c r="I20" s="24" t="n">
        <f aca="false">-I19*Inputs!$E$50</f>
        <v>-11.88</v>
      </c>
      <c r="J20" s="24" t="n">
        <f aca="false">-J19*Inputs!$E$50</f>
        <v>-11.88</v>
      </c>
      <c r="K20" s="24" t="n">
        <f aca="false">-K19*Inputs!$E$50</f>
        <v>-11.88</v>
      </c>
      <c r="L20" s="24" t="n">
        <f aca="false">-L19*Inputs!$E$50</f>
        <v>-11.88</v>
      </c>
      <c r="M20" s="24" t="n">
        <f aca="false">-M19*Inputs!$E$50</f>
        <v>-11.88</v>
      </c>
      <c r="N20" s="24" t="n">
        <f aca="false">-N19*Inputs!$E$50</f>
        <v>-11.88</v>
      </c>
    </row>
    <row r="21" customFormat="false" ht="15" hidden="false" customHeight="false" outlineLevel="0" collapsed="false">
      <c r="A21" s="2" t="s">
        <v>234</v>
      </c>
      <c r="B21" s="2" t="s">
        <v>291</v>
      </c>
      <c r="C21" s="24" t="n">
        <f aca="false">-C16*Inputs!$E$51</f>
        <v>-3.3</v>
      </c>
      <c r="D21" s="24" t="n">
        <f aca="false">-D16*Inputs!$E$51</f>
        <v>-3.3</v>
      </c>
      <c r="E21" s="24" t="n">
        <f aca="false">-E16*Inputs!$E$51</f>
        <v>-6.6</v>
      </c>
      <c r="F21" s="24" t="n">
        <f aca="false">-F16*Inputs!$E$51</f>
        <v>-6.6</v>
      </c>
      <c r="G21" s="24" t="n">
        <f aca="false">-G16*Inputs!$E$51</f>
        <v>-6.6</v>
      </c>
      <c r="H21" s="24" t="n">
        <f aca="false">-H16*Inputs!$E$51</f>
        <v>-6.6</v>
      </c>
      <c r="I21" s="24" t="n">
        <f aca="false">-I16*Inputs!$E$51</f>
        <v>-6.6</v>
      </c>
      <c r="J21" s="24" t="n">
        <f aca="false">-J16*Inputs!$E$51</f>
        <v>-6.6</v>
      </c>
      <c r="K21" s="24" t="n">
        <f aca="false">-K16*Inputs!$E$51</f>
        <v>-6.6</v>
      </c>
      <c r="L21" s="24" t="n">
        <f aca="false">-L16*Inputs!$E$51</f>
        <v>-6.6</v>
      </c>
      <c r="M21" s="24" t="n">
        <f aca="false">-M16*Inputs!$E$51</f>
        <v>-6.6</v>
      </c>
      <c r="N21" s="24" t="n">
        <f aca="false">-N16*Inputs!$E$51</f>
        <v>-6.6</v>
      </c>
    </row>
    <row r="22" customFormat="false" ht="15" hidden="false" customHeight="false" outlineLevel="0" collapsed="false">
      <c r="A22" s="3" t="s">
        <v>351</v>
      </c>
      <c r="B22" s="2" t="s">
        <v>291</v>
      </c>
      <c r="C22" s="49" t="n">
        <f aca="false">C19+C20+C21</f>
        <v>8.22</v>
      </c>
      <c r="D22" s="49" t="n">
        <f aca="false">D19+D20+D21</f>
        <v>18.3</v>
      </c>
      <c r="E22" s="49" t="n">
        <f aca="false">E19+E20+E21</f>
        <v>25.08</v>
      </c>
      <c r="F22" s="49" t="n">
        <f aca="false">F19+F20+F21</f>
        <v>33.72</v>
      </c>
      <c r="G22" s="49" t="n">
        <f aca="false">G19+G20+G21</f>
        <v>40.92</v>
      </c>
      <c r="H22" s="49" t="n">
        <f aca="false">H19+H20+H21</f>
        <v>40.92</v>
      </c>
      <c r="I22" s="49" t="n">
        <f aca="false">I19+I20+I21</f>
        <v>40.92</v>
      </c>
      <c r="J22" s="49" t="n">
        <f aca="false">J19+J20+J21</f>
        <v>40.92</v>
      </c>
      <c r="K22" s="49" t="n">
        <f aca="false">K19+K20+K21</f>
        <v>40.92</v>
      </c>
      <c r="L22" s="49" t="n">
        <f aca="false">L19+L20+L21</f>
        <v>40.92</v>
      </c>
      <c r="M22" s="49" t="n">
        <f aca="false">M19+M20+M21</f>
        <v>40.92</v>
      </c>
      <c r="N22" s="49" t="n">
        <f aca="false">N19+N20+N21</f>
        <v>40.92</v>
      </c>
    </row>
    <row r="23" customFormat="false" ht="15" hidden="false" customHeight="false" outlineLevel="0" collapsed="false">
      <c r="A23" s="2" t="s">
        <v>352</v>
      </c>
      <c r="B23" s="2" t="s">
        <v>91</v>
      </c>
      <c r="C23" s="17" t="n">
        <f aca="false">IF(C14=0,Inputs!$E$46,0)+IF(C14=Inputs!$E$48,Inputs!$E$47,0)</f>
        <v>22</v>
      </c>
      <c r="D23" s="17" t="n">
        <f aca="false">IF(D14=0,Inputs!$E$46,0)+IF(D14=Inputs!$E$48,Inputs!$E$47,0)</f>
        <v>0</v>
      </c>
      <c r="E23" s="17" t="n">
        <f aca="false">IF(E14=0,Inputs!$E$46,0)+IF(E14=Inputs!$E$48,Inputs!$E$47,0)</f>
        <v>22</v>
      </c>
      <c r="F23" s="17" t="n">
        <f aca="false">IF(F14=0,Inputs!$E$46,0)+IF(F14=Inputs!$E$48,Inputs!$E$47,0)</f>
        <v>0</v>
      </c>
      <c r="G23" s="17" t="n">
        <f aca="false">IF(G14=0,Inputs!$E$46,0)+IF(G14=Inputs!$E$48,Inputs!$E$47,0)</f>
        <v>0</v>
      </c>
      <c r="H23" s="17" t="n">
        <f aca="false">IF(H14=0,Inputs!$E$46,0)+IF(H14=Inputs!$E$48,Inputs!$E$47,0)</f>
        <v>0</v>
      </c>
      <c r="I23" s="17" t="n">
        <f aca="false">IF(I14=0,Inputs!$E$46,0)+IF(I14=Inputs!$E$48,Inputs!$E$47,0)</f>
        <v>0</v>
      </c>
      <c r="J23" s="17" t="n">
        <f aca="false">IF(J14=0,Inputs!$E$46,0)+IF(J14=Inputs!$E$48,Inputs!$E$47,0)</f>
        <v>0</v>
      </c>
      <c r="K23" s="17" t="n">
        <f aca="false">IF(K14=0,Inputs!$E$46,0)+IF(K14=Inputs!$E$48,Inputs!$E$47,0)</f>
        <v>0</v>
      </c>
      <c r="L23" s="17" t="n">
        <f aca="false">IF(L14=0,Inputs!$E$46,0)+IF(L14=Inputs!$E$48,Inputs!$E$47,0)</f>
        <v>0</v>
      </c>
      <c r="M23" s="17" t="n">
        <f aca="false">IF(M14=0,Inputs!$E$46,0)+IF(M14=Inputs!$E$48,Inputs!$E$47,0)</f>
        <v>0</v>
      </c>
      <c r="N23" s="17" t="n">
        <f aca="false">IF(N14=0,Inputs!$E$46,0)+IF(N14=Inputs!$E$48,Inputs!$E$47,0)</f>
        <v>0</v>
      </c>
    </row>
    <row r="24" customFormat="false" ht="15" hidden="false" customHeight="false" outlineLevel="0" collapsed="false">
      <c r="A24" s="2" t="s">
        <v>353</v>
      </c>
      <c r="B24" s="2" t="s">
        <v>291</v>
      </c>
      <c r="C24" s="24" t="n">
        <f aca="false">-C23*Inputs!$E$33</f>
        <v>-176</v>
      </c>
      <c r="D24" s="24" t="n">
        <f aca="false">-D23*Inputs!$E$33</f>
        <v>-0</v>
      </c>
      <c r="E24" s="24" t="n">
        <f aca="false">-E23*Inputs!$E$33</f>
        <v>-176</v>
      </c>
      <c r="F24" s="24" t="n">
        <f aca="false">-F23*Inputs!$E$33</f>
        <v>-0</v>
      </c>
      <c r="G24" s="24" t="n">
        <f aca="false">-G23*Inputs!$E$33</f>
        <v>-0</v>
      </c>
      <c r="H24" s="24" t="n">
        <f aca="false">-H23*Inputs!$E$33</f>
        <v>-0</v>
      </c>
      <c r="I24" s="24" t="n">
        <f aca="false">-I23*Inputs!$E$33</f>
        <v>-0</v>
      </c>
      <c r="J24" s="24" t="n">
        <f aca="false">-J23*Inputs!$E$33</f>
        <v>-0</v>
      </c>
      <c r="K24" s="24" t="n">
        <f aca="false">-K23*Inputs!$E$33</f>
        <v>-0</v>
      </c>
      <c r="L24" s="24" t="n">
        <f aca="false">-L23*Inputs!$E$33</f>
        <v>-0</v>
      </c>
      <c r="M24" s="24" t="n">
        <f aca="false">-M23*Inputs!$E$33</f>
        <v>-0</v>
      </c>
      <c r="N24" s="24" t="n">
        <f aca="false">-N23*Inputs!$E$33</f>
        <v>-0</v>
      </c>
    </row>
    <row r="25" customFormat="false" ht="15" hidden="false" customHeight="false" outlineLevel="0" collapsed="false">
      <c r="A25" s="2" t="s">
        <v>354</v>
      </c>
      <c r="B25" s="2" t="s">
        <v>91</v>
      </c>
      <c r="C25" s="17" t="n">
        <f aca="false">0</f>
        <v>0</v>
      </c>
      <c r="D25" s="17" t="n">
        <f aca="false">SUM($C23:C23)</f>
        <v>22</v>
      </c>
      <c r="E25" s="17" t="n">
        <f aca="false">SUM($C23:D23)</f>
        <v>22</v>
      </c>
      <c r="F25" s="17" t="n">
        <f aca="false">SUM($C23:E23)</f>
        <v>44</v>
      </c>
      <c r="G25" s="17" t="n">
        <f aca="false">SUM($C23:F23)</f>
        <v>44</v>
      </c>
      <c r="H25" s="17" t="n">
        <f aca="false">SUM($C23:G23)</f>
        <v>44</v>
      </c>
      <c r="I25" s="17" t="n">
        <f aca="false">SUM($C23:H23)</f>
        <v>44</v>
      </c>
      <c r="J25" s="17" t="n">
        <f aca="false">SUM($C23:I23)</f>
        <v>44</v>
      </c>
      <c r="K25" s="17" t="n">
        <f aca="false">SUM($C23:J23)</f>
        <v>44</v>
      </c>
      <c r="L25" s="17" t="n">
        <f aca="false">SUM($C23:K23)</f>
        <v>44</v>
      </c>
      <c r="M25" s="17" t="n">
        <f aca="false">SUM($C23:L23)</f>
        <v>44</v>
      </c>
      <c r="N25" s="17" t="n">
        <f aca="false">SUM($C23:M23)</f>
        <v>44</v>
      </c>
    </row>
    <row r="26" customFormat="false" ht="15" hidden="false" customHeight="false" outlineLevel="0" collapsed="false">
      <c r="A26" s="2" t="s">
        <v>237</v>
      </c>
      <c r="B26" s="2" t="s">
        <v>291</v>
      </c>
      <c r="C26" s="24" t="n">
        <f aca="false">-C25*Inputs!$E$33*Inputs!$E$52</f>
        <v>-0</v>
      </c>
      <c r="D26" s="24" t="n">
        <f aca="false">-D25*Inputs!$E$33*Inputs!$E$52</f>
        <v>-2.64</v>
      </c>
      <c r="E26" s="24" t="n">
        <f aca="false">-E25*Inputs!$E$33*Inputs!$E$52</f>
        <v>-2.64</v>
      </c>
      <c r="F26" s="24" t="n">
        <f aca="false">-F25*Inputs!$E$33*Inputs!$E$52</f>
        <v>-5.28</v>
      </c>
      <c r="G26" s="24" t="n">
        <f aca="false">-G25*Inputs!$E$33*Inputs!$E$52</f>
        <v>-5.28</v>
      </c>
      <c r="H26" s="24" t="n">
        <f aca="false">-H25*Inputs!$E$33*Inputs!$E$52</f>
        <v>-5.28</v>
      </c>
      <c r="I26" s="24" t="n">
        <f aca="false">-I25*Inputs!$E$33*Inputs!$E$52</f>
        <v>-5.28</v>
      </c>
      <c r="J26" s="24" t="n">
        <f aca="false">-J25*Inputs!$E$33*Inputs!$E$52</f>
        <v>-5.28</v>
      </c>
      <c r="K26" s="24" t="n">
        <f aca="false">-K25*Inputs!$E$33*Inputs!$E$52</f>
        <v>-5.28</v>
      </c>
      <c r="L26" s="24" t="n">
        <f aca="false">-L25*Inputs!$E$33*Inputs!$E$52</f>
        <v>-5.28</v>
      </c>
      <c r="M26" s="24" t="n">
        <f aca="false">-M25*Inputs!$E$33*Inputs!$E$52</f>
        <v>-5.28</v>
      </c>
      <c r="N26" s="24" t="n">
        <f aca="false">-N25*Inputs!$E$33*Inputs!$E$52</f>
        <v>-5.28</v>
      </c>
    </row>
    <row r="27" customFormat="false" ht="15" hidden="false" customHeight="false" outlineLevel="0" collapsed="false">
      <c r="A27" s="2" t="s">
        <v>355</v>
      </c>
      <c r="B27" s="2" t="s">
        <v>291</v>
      </c>
      <c r="C27" s="24" t="n">
        <f aca="false">0</f>
        <v>0</v>
      </c>
      <c r="D27" s="24" t="n">
        <f aca="false">0</f>
        <v>0</v>
      </c>
      <c r="E27" s="24" t="n">
        <f aca="false">0</f>
        <v>0</v>
      </c>
      <c r="F27" s="24" t="n">
        <f aca="false">0</f>
        <v>0</v>
      </c>
      <c r="G27" s="24" t="n">
        <f aca="false">0</f>
        <v>0</v>
      </c>
      <c r="H27" s="24" t="n">
        <f aca="false">0</f>
        <v>0</v>
      </c>
      <c r="I27" s="24" t="n">
        <f aca="false">0</f>
        <v>0</v>
      </c>
      <c r="J27" s="24" t="n">
        <f aca="false">0</f>
        <v>0</v>
      </c>
      <c r="K27" s="24" t="n">
        <f aca="false">0</f>
        <v>0</v>
      </c>
      <c r="L27" s="24" t="n">
        <f aca="false">0</f>
        <v>0</v>
      </c>
      <c r="M27" s="24" t="n">
        <f aca="false">0</f>
        <v>0</v>
      </c>
      <c r="N27" s="24" t="n">
        <f aca="false">Inputs!$E$53*N22</f>
        <v>286.44</v>
      </c>
    </row>
    <row r="28" customFormat="false" ht="15" hidden="false" customHeight="false" outlineLevel="0" collapsed="false">
      <c r="A28" s="3" t="s">
        <v>356</v>
      </c>
      <c r="B28" s="2" t="s">
        <v>291</v>
      </c>
      <c r="C28" s="50" t="n">
        <f aca="false">C22+C24+C26+C27</f>
        <v>-167.78</v>
      </c>
      <c r="D28" s="50" t="n">
        <f aca="false">D22+D24+D26+D27</f>
        <v>15.66</v>
      </c>
      <c r="E28" s="50" t="n">
        <f aca="false">E22+E24+E26+E27</f>
        <v>-153.56</v>
      </c>
      <c r="F28" s="50" t="n">
        <f aca="false">F22+F24+F26+F27</f>
        <v>28.44</v>
      </c>
      <c r="G28" s="50" t="n">
        <f aca="false">G22+G24+G26+G27</f>
        <v>35.64</v>
      </c>
      <c r="H28" s="50" t="n">
        <f aca="false">H22+H24+H26+H27</f>
        <v>35.64</v>
      </c>
      <c r="I28" s="50" t="n">
        <f aca="false">I22+I24+I26+I27</f>
        <v>35.64</v>
      </c>
      <c r="J28" s="50" t="n">
        <f aca="false">J22+J24+J26+J27</f>
        <v>35.64</v>
      </c>
      <c r="K28" s="50" t="n">
        <f aca="false">K22+K24+K26+K27</f>
        <v>35.64</v>
      </c>
      <c r="L28" s="50" t="n">
        <f aca="false">L22+L24+L26+L27</f>
        <v>35.64</v>
      </c>
      <c r="M28" s="50" t="n">
        <f aca="false">M22+M24+M26+M27</f>
        <v>35.64</v>
      </c>
      <c r="N28" s="50" t="n">
        <f aca="false">N22+N24+N26+N27</f>
        <v>322.08</v>
      </c>
    </row>
    <row r="30" customFormat="false" ht="15" hidden="false" customHeight="false" outlineLevel="0" collapsed="false">
      <c r="A30" s="5" t="s">
        <v>357</v>
      </c>
      <c r="B30" s="6" t="s">
        <v>85</v>
      </c>
      <c r="C30" s="6" t="s">
        <v>332</v>
      </c>
      <c r="D30" s="6" t="s">
        <v>333</v>
      </c>
      <c r="E30" s="6" t="s">
        <v>334</v>
      </c>
      <c r="F30" s="6" t="s">
        <v>335</v>
      </c>
      <c r="G30" s="6" t="s">
        <v>336</v>
      </c>
      <c r="H30" s="6" t="s">
        <v>337</v>
      </c>
      <c r="I30" s="6" t="s">
        <v>338</v>
      </c>
      <c r="J30" s="6" t="s">
        <v>339</v>
      </c>
      <c r="K30" s="6" t="s">
        <v>340</v>
      </c>
      <c r="L30" s="6" t="s">
        <v>341</v>
      </c>
      <c r="M30" s="6" t="s">
        <v>342</v>
      </c>
      <c r="N30" s="6" t="s">
        <v>343</v>
      </c>
    </row>
    <row r="31" customFormat="false" ht="15" hidden="false" customHeight="false" outlineLevel="0" collapsed="false">
      <c r="A31" s="2" t="s">
        <v>358</v>
      </c>
      <c r="B31" s="2" t="s">
        <v>291</v>
      </c>
      <c r="C31" s="51" t="n">
        <f aca="false">C18*12/1000*(1-Inputs!$E$50)</f>
        <v>0.0768</v>
      </c>
      <c r="D31" s="51" t="n">
        <f aca="false">D18*12/1000*(1-Inputs!$E$50)</f>
        <v>0.144</v>
      </c>
      <c r="E31" s="51" t="n">
        <f aca="false">E18*12/1000*(1-Inputs!$E$50)</f>
        <v>0.2112</v>
      </c>
      <c r="F31" s="51" t="n">
        <f aca="false">F18*12/1000*(1-Inputs!$E$50)</f>
        <v>0.2688</v>
      </c>
      <c r="G31" s="51" t="n">
        <f aca="false">G18*12/1000*(1-Inputs!$E$50)</f>
        <v>0.3168</v>
      </c>
      <c r="H31" s="51" t="n">
        <f aca="false">H18*12/1000*(1-Inputs!$E$50)</f>
        <v>0.3168</v>
      </c>
      <c r="I31" s="51" t="n">
        <f aca="false">I18*12/1000*(1-Inputs!$E$50)</f>
        <v>0.3168</v>
      </c>
      <c r="J31" s="51" t="n">
        <f aca="false">J18*12/1000*(1-Inputs!$E$50)</f>
        <v>0.3168</v>
      </c>
      <c r="K31" s="51" t="n">
        <f aca="false">K18*12/1000*(1-Inputs!$E$50)</f>
        <v>0.3168</v>
      </c>
      <c r="L31" s="51" t="n">
        <f aca="false">L18*12/1000*(1-Inputs!$E$50)</f>
        <v>0.3168</v>
      </c>
      <c r="M31" s="51" t="n">
        <f aca="false">M18*12/1000*(1-Inputs!$E$50)</f>
        <v>0.3168</v>
      </c>
      <c r="N31" s="51" t="n">
        <f aca="false">N18*12/1000*(1-Inputs!$E$50)+Inputs!$E$53*N18*12/1000*(1-Inputs!$E$50)</f>
        <v>2.5344</v>
      </c>
    </row>
    <row r="32" customFormat="false" ht="15" hidden="false" customHeight="false" outlineLevel="0" collapsed="false">
      <c r="A32" s="2" t="s">
        <v>359</v>
      </c>
      <c r="B32" s="2" t="s">
        <v>291</v>
      </c>
      <c r="C32" s="51" t="n">
        <f aca="false">-C16*Inputs!$E$51</f>
        <v>-3.3</v>
      </c>
      <c r="D32" s="51" t="n">
        <f aca="false">-D16*Inputs!$E$51</f>
        <v>-3.3</v>
      </c>
      <c r="E32" s="51" t="n">
        <f aca="false">-E16*Inputs!$E$51</f>
        <v>-6.6</v>
      </c>
      <c r="F32" s="51" t="n">
        <f aca="false">-F16*Inputs!$E$51</f>
        <v>-6.6</v>
      </c>
      <c r="G32" s="51" t="n">
        <f aca="false">-G16*Inputs!$E$51</f>
        <v>-6.6</v>
      </c>
      <c r="H32" s="51" t="n">
        <f aca="false">-H16*Inputs!$E$51</f>
        <v>-6.6</v>
      </c>
      <c r="I32" s="51" t="n">
        <f aca="false">-I16*Inputs!$E$51</f>
        <v>-6.6</v>
      </c>
      <c r="J32" s="51" t="n">
        <f aca="false">-J16*Inputs!$E$51</f>
        <v>-6.6</v>
      </c>
      <c r="K32" s="51" t="n">
        <f aca="false">-K16*Inputs!$E$51</f>
        <v>-6.6</v>
      </c>
      <c r="L32" s="51" t="n">
        <f aca="false">-L16*Inputs!$E$51</f>
        <v>-6.6</v>
      </c>
      <c r="M32" s="51" t="n">
        <f aca="false">-M16*Inputs!$E$51</f>
        <v>-6.6</v>
      </c>
      <c r="N32" s="51" t="n">
        <f aca="false">-N16*Inputs!$E$51-Inputs!$E$53*N16*Inputs!$E$51</f>
        <v>-52.8</v>
      </c>
    </row>
    <row r="33" customFormat="false" ht="15" hidden="false" customHeight="false" outlineLevel="0" collapsed="false">
      <c r="A33" s="2" t="s">
        <v>360</v>
      </c>
      <c r="B33" s="2" t="s">
        <v>291</v>
      </c>
      <c r="C33" s="51" t="n">
        <f aca="false">-(C23+C25*Inputs!$E$52)</f>
        <v>-22</v>
      </c>
      <c r="D33" s="51" t="n">
        <f aca="false">-(D23+D25*Inputs!$E$52)</f>
        <v>-0.33</v>
      </c>
      <c r="E33" s="51" t="n">
        <f aca="false">-(E23+E25*Inputs!$E$52)</f>
        <v>-22.33</v>
      </c>
      <c r="F33" s="51" t="n">
        <f aca="false">-(F23+F25*Inputs!$E$52)</f>
        <v>-0.66</v>
      </c>
      <c r="G33" s="51" t="n">
        <f aca="false">-(G23+G25*Inputs!$E$52)</f>
        <v>-0.66</v>
      </c>
      <c r="H33" s="51" t="n">
        <f aca="false">-(H23+H25*Inputs!$E$52)</f>
        <v>-0.66</v>
      </c>
      <c r="I33" s="51" t="n">
        <f aca="false">-(I23+I25*Inputs!$E$52)</f>
        <v>-0.66</v>
      </c>
      <c r="J33" s="51" t="n">
        <f aca="false">-(J23+J25*Inputs!$E$52)</f>
        <v>-0.66</v>
      </c>
      <c r="K33" s="51" t="n">
        <f aca="false">-(K23+K25*Inputs!$E$52)</f>
        <v>-0.66</v>
      </c>
      <c r="L33" s="51" t="n">
        <f aca="false">-(L23+L25*Inputs!$E$52)</f>
        <v>-0.66</v>
      </c>
      <c r="M33" s="51" t="n">
        <f aca="false">-(M23+M25*Inputs!$E$52)</f>
        <v>-0.66</v>
      </c>
      <c r="N33" s="51" t="n">
        <f aca="false">-(N23+N25*Inputs!$E$52)</f>
        <v>-0.66</v>
      </c>
    </row>
    <row r="35" customFormat="false" ht="15" hidden="false" customHeight="false" outlineLevel="0" collapsed="false">
      <c r="A35" s="5" t="s">
        <v>361</v>
      </c>
      <c r="B35" s="6" t="s">
        <v>85</v>
      </c>
      <c r="C35" s="6" t="s">
        <v>67</v>
      </c>
    </row>
    <row r="36" customFormat="false" ht="15" hidden="false" customHeight="false" outlineLevel="0" collapsed="false">
      <c r="A36" s="3" t="s">
        <v>362</v>
      </c>
      <c r="B36" s="2" t="s">
        <v>291</v>
      </c>
      <c r="C36" s="50" t="n">
        <f aca="false">C28+NPV(Inputs!$E$49,D28:N28)</f>
        <v>-15.8372925014825</v>
      </c>
    </row>
    <row r="37" customFormat="false" ht="15" hidden="false" customHeight="false" outlineLevel="0" collapsed="false">
      <c r="A37" s="3" t="s">
        <v>363</v>
      </c>
      <c r="B37" s="2" t="s">
        <v>96</v>
      </c>
      <c r="C37" s="42" t="n">
        <f aca="false">IRR(C28:N28)</f>
        <v>0.0913616266517157</v>
      </c>
    </row>
    <row r="38" customFormat="false" ht="15" hidden="false" customHeight="false" outlineLevel="0" collapsed="false">
      <c r="A38" s="2" t="s">
        <v>364</v>
      </c>
      <c r="B38" s="2" t="s">
        <v>291</v>
      </c>
      <c r="C38" s="52" t="n">
        <f aca="false">C36-N27/(1+Inputs!$E$49)^11</f>
        <v>-116.232765068932</v>
      </c>
    </row>
    <row r="39" customFormat="false" ht="15" hidden="false" customHeight="false" outlineLevel="0" collapsed="false">
      <c r="A39" s="2" t="s">
        <v>365</v>
      </c>
      <c r="B39" s="2" t="s">
        <v>291</v>
      </c>
      <c r="C39" s="53" t="n">
        <f aca="false">C31+NPV(Inputs!$E$49,D31:N31)</f>
        <v>2.63126385112597</v>
      </c>
    </row>
    <row r="40" customFormat="false" ht="15" hidden="false" customHeight="false" outlineLevel="0" collapsed="false">
      <c r="A40" s="2" t="s">
        <v>366</v>
      </c>
      <c r="B40" s="2" t="s">
        <v>291</v>
      </c>
      <c r="C40" s="52" t="n">
        <f aca="false">C32+NPV(Inputs!$E$49,D32:N32)</f>
        <v>-59.3602207902684</v>
      </c>
    </row>
    <row r="41" customFormat="false" ht="15" hidden="false" customHeight="false" outlineLevel="0" collapsed="false">
      <c r="A41" s="2" t="s">
        <v>367</v>
      </c>
      <c r="B41" s="2" t="s">
        <v>291</v>
      </c>
      <c r="C41" s="53" t="n">
        <f aca="false">C33+NPV(Inputs!$E$49,D33:N33)</f>
        <v>-43.8958311725137</v>
      </c>
    </row>
    <row r="42" customFormat="false" ht="15" hidden="false" customHeight="false" outlineLevel="0" collapsed="false">
      <c r="A42" s="3" t="s">
        <v>368</v>
      </c>
      <c r="B42" s="2" t="s">
        <v>172</v>
      </c>
      <c r="C42" s="48" t="n">
        <f aca="false">-(C40+C41*Inputs!$E$33)/C39</f>
        <v>156.018891832039</v>
      </c>
    </row>
    <row r="43" customFormat="false" ht="15" hidden="false" customHeight="false" outlineLevel="0" collapsed="false">
      <c r="A43" s="2" t="s">
        <v>369</v>
      </c>
      <c r="B43" s="2" t="s">
        <v>291</v>
      </c>
      <c r="C43" s="54" t="n">
        <f aca="false">ROUND(C39*Inputs!$E$32+C40+C41*Inputs!$E$33-C36,6)</f>
        <v>0</v>
      </c>
    </row>
    <row r="44" customFormat="false" ht="15" hidden="false" customHeight="false" outlineLevel="0" collapsed="false">
      <c r="A44" s="2" t="s">
        <v>370</v>
      </c>
      <c r="B44" s="2" t="s">
        <v>96</v>
      </c>
      <c r="C44" s="45" t="n">
        <f aca="false">N22/(Inputs!$E$33*(Inputs!$E$46+Inputs!$E$47))</f>
        <v>0.11625</v>
      </c>
    </row>
    <row r="46" customFormat="false" ht="23.85" hidden="false" customHeight="false" outlineLevel="0" collapsed="false">
      <c r="A46" s="5" t="s">
        <v>371</v>
      </c>
      <c r="B46" s="6" t="s">
        <v>372</v>
      </c>
      <c r="C46" s="6"/>
      <c r="D46" s="6"/>
      <c r="E46" s="6"/>
      <c r="F46" s="6"/>
      <c r="G46" s="6"/>
      <c r="H46" s="6"/>
    </row>
    <row r="47" customFormat="false" ht="15" hidden="false" customHeight="false" outlineLevel="0" collapsed="false">
      <c r="B47" s="2"/>
      <c r="C47" s="32" t="n">
        <v>6</v>
      </c>
      <c r="D47" s="32" t="n">
        <v>7</v>
      </c>
      <c r="E47" s="32" t="n">
        <v>8</v>
      </c>
      <c r="F47" s="32" t="n">
        <v>9</v>
      </c>
      <c r="G47" s="32" t="n">
        <v>10</v>
      </c>
      <c r="H47" s="32" t="n">
        <v>11.3</v>
      </c>
    </row>
    <row r="48" customFormat="false" ht="15" hidden="false" customHeight="false" outlineLevel="0" collapsed="false">
      <c r="B48" s="37" t="n">
        <v>110</v>
      </c>
      <c r="C48" s="17" t="n">
        <f aca="false">$C$39*$B48+$C$40+$C$41*C$47</f>
        <v>-33.2961842014938</v>
      </c>
      <c r="D48" s="17" t="n">
        <f aca="false">$C$39*$B48+$C$40+$C$41*D$47</f>
        <v>-77.1920153740076</v>
      </c>
      <c r="E48" s="17" t="n">
        <f aca="false">$C$39*$B48+$C$40+$C$41*E$47</f>
        <v>-121.087846546521</v>
      </c>
      <c r="F48" s="17" t="n">
        <f aca="false">$C$39*$B48+$C$40+$C$41*F$47</f>
        <v>-164.983677719035</v>
      </c>
      <c r="G48" s="17" t="n">
        <f aca="false">$C$39*$B48+$C$40+$C$41*G$47</f>
        <v>-208.879508891549</v>
      </c>
      <c r="H48" s="17" t="n">
        <f aca="false">$C$39*$B48+$C$40+$C$41*H$47</f>
        <v>-265.944089415817</v>
      </c>
    </row>
    <row r="49" customFormat="false" ht="15" hidden="false" customHeight="false" outlineLevel="0" collapsed="false">
      <c r="B49" s="37" t="n">
        <v>130</v>
      </c>
      <c r="C49" s="17" t="n">
        <f aca="false">$C$39*$B49+$C$40+$C$41*C$47</f>
        <v>19.3290928210256</v>
      </c>
      <c r="D49" s="17" t="n">
        <f aca="false">$C$39*$B49+$C$40+$C$41*D$47</f>
        <v>-24.5667383514881</v>
      </c>
      <c r="E49" s="17" t="n">
        <f aca="false">$C$39*$B49+$C$40+$C$41*E$47</f>
        <v>-68.4625695240018</v>
      </c>
      <c r="F49" s="17" t="n">
        <f aca="false">$C$39*$B49+$C$40+$C$41*F$47</f>
        <v>-112.358400696516</v>
      </c>
      <c r="G49" s="17" t="n">
        <f aca="false">$C$39*$B49+$C$40+$C$41*G$47</f>
        <v>-156.254231869029</v>
      </c>
      <c r="H49" s="17" t="n">
        <f aca="false">$C$39*$B49+$C$40+$C$41*H$47</f>
        <v>-213.318812393297</v>
      </c>
    </row>
    <row r="50" customFormat="false" ht="15" hidden="false" customHeight="false" outlineLevel="0" collapsed="false">
      <c r="B50" s="37" t="n">
        <v>150</v>
      </c>
      <c r="C50" s="17" t="n">
        <f aca="false">$C$39*$B50+$C$40+$C$41*C$47</f>
        <v>71.954369843545</v>
      </c>
      <c r="D50" s="17" t="n">
        <f aca="false">$C$39*$B50+$C$40+$C$41*D$47</f>
        <v>28.0585386710313</v>
      </c>
      <c r="E50" s="17" t="n">
        <f aca="false">$C$39*$B50+$C$40+$C$41*E$47</f>
        <v>-15.8372925014824</v>
      </c>
      <c r="F50" s="17" t="n">
        <f aca="false">$C$39*$B50+$C$40+$C$41*F$47</f>
        <v>-59.7331236739961</v>
      </c>
      <c r="G50" s="17" t="n">
        <f aca="false">$C$39*$B50+$C$40+$C$41*G$47</f>
        <v>-103.62895484651</v>
      </c>
      <c r="H50" s="17" t="n">
        <f aca="false">$C$39*$B50+$C$40+$C$41*H$47</f>
        <v>-160.693535370778</v>
      </c>
    </row>
    <row r="51" customFormat="false" ht="15" hidden="false" customHeight="false" outlineLevel="0" collapsed="false">
      <c r="B51" s="37" t="n">
        <v>175</v>
      </c>
      <c r="C51" s="17" t="n">
        <f aca="false">$C$39*$B51+$C$40+$C$41*C$47</f>
        <v>137.735966121694</v>
      </c>
      <c r="D51" s="17" t="n">
        <f aca="false">$C$39*$B51+$C$40+$C$41*D$47</f>
        <v>93.8401349491806</v>
      </c>
      <c r="E51" s="17" t="n">
        <f aca="false">$C$39*$B51+$C$40+$C$41*E$47</f>
        <v>49.9443037766669</v>
      </c>
      <c r="F51" s="17" t="n">
        <f aca="false">$C$39*$B51+$C$40+$C$41*F$47</f>
        <v>6.04847260415323</v>
      </c>
      <c r="G51" s="17" t="n">
        <f aca="false">$C$39*$B51+$C$40+$C$41*G$47</f>
        <v>-37.8473585683605</v>
      </c>
      <c r="H51" s="17" t="n">
        <f aca="false">$C$39*$B51+$C$40+$C$41*H$47</f>
        <v>-94.9119390926284</v>
      </c>
    </row>
    <row r="52" customFormat="false" ht="15" hidden="false" customHeight="false" outlineLevel="0" collapsed="false">
      <c r="B52" s="37" t="n">
        <v>200</v>
      </c>
      <c r="C52" s="17" t="n">
        <f aca="false">$C$39*$B52+$C$40+$C$41*C$47</f>
        <v>203.517562399844</v>
      </c>
      <c r="D52" s="17" t="n">
        <f aca="false">$C$39*$B52+$C$40+$C$41*D$47</f>
        <v>159.62173122733</v>
      </c>
      <c r="E52" s="17" t="n">
        <f aca="false">$C$39*$B52+$C$40+$C$41*E$47</f>
        <v>115.725900054816</v>
      </c>
      <c r="F52" s="17" t="n">
        <f aca="false">$C$39*$B52+$C$40+$C$41*F$47</f>
        <v>71.8300688823025</v>
      </c>
      <c r="G52" s="17" t="n">
        <f aca="false">$C$39*$B52+$C$40+$C$41*G$47</f>
        <v>27.9342377097888</v>
      </c>
      <c r="H52" s="17" t="n">
        <f aca="false">$C$39*$B52+$C$40+$C$41*H$47</f>
        <v>-29.1303428144791</v>
      </c>
    </row>
    <row r="53" customFormat="false" ht="15" hidden="false" customHeight="false" outlineLevel="0" collapsed="false">
      <c r="B53" s="37" t="n">
        <v>225</v>
      </c>
      <c r="C53" s="17" t="n">
        <f aca="false">$C$39*$B53+$C$40+$C$41*C$47</f>
        <v>269.299158677993</v>
      </c>
      <c r="D53" s="17" t="n">
        <f aca="false">$C$39*$B53+$C$40+$C$41*D$47</f>
        <v>225.403327505479</v>
      </c>
      <c r="E53" s="17" t="n">
        <f aca="false">$C$39*$B53+$C$40+$C$41*E$47</f>
        <v>181.507496332966</v>
      </c>
      <c r="F53" s="17" t="n">
        <f aca="false">$C$39*$B53+$C$40+$C$41*F$47</f>
        <v>137.611665160452</v>
      </c>
      <c r="G53" s="17" t="n">
        <f aca="false">$C$39*$B53+$C$40+$C$41*G$47</f>
        <v>93.7158339879381</v>
      </c>
      <c r="H53" s="17" t="n">
        <f aca="false">$C$39*$B53+$C$40+$C$41*H$47</f>
        <v>36.6512534636702</v>
      </c>
    </row>
    <row r="54" customFormat="false" ht="15" hidden="false" customHeight="false" outlineLevel="0" collapsed="false">
      <c r="B54" s="3" t="s">
        <v>373</v>
      </c>
      <c r="C54" s="55" t="n">
        <f aca="false">-($C$40+$C$41*C$47)/$C$39</f>
        <v>122.654065150952</v>
      </c>
      <c r="D54" s="55" t="n">
        <f aca="false">-($C$40+$C$41*D$47)/$C$39</f>
        <v>139.336478491496</v>
      </c>
      <c r="E54" s="55" t="n">
        <f aca="false">-($C$40+$C$41*E$47)/$C$39</f>
        <v>156.018891832039</v>
      </c>
      <c r="F54" s="55" t="n">
        <f aca="false">-($C$40+$C$41*F$47)/$C$39</f>
        <v>172.701305172583</v>
      </c>
      <c r="G54" s="55" t="n">
        <f aca="false">-($C$40+$C$41*G$47)/$C$39</f>
        <v>189.383718513126</v>
      </c>
      <c r="H54" s="55" t="n">
        <f aca="false">-($C$40+$C$41*H$47)/$C$39</f>
        <v>211.070855855833</v>
      </c>
    </row>
    <row r="56" customFormat="false" ht="15" hidden="false" customHeight="false" outlineLevel="0" collapsed="false">
      <c r="A56" s="5" t="s">
        <v>374</v>
      </c>
      <c r="B56" s="6" t="s">
        <v>375</v>
      </c>
      <c r="C56" s="6" t="s">
        <v>376</v>
      </c>
    </row>
    <row r="57" customFormat="false" ht="15" hidden="false" customHeight="false" outlineLevel="0" collapsed="false">
      <c r="B57" s="27" t="n">
        <v>0.08</v>
      </c>
      <c r="C57" s="24" t="n">
        <f aca="false">$C$28+NPV(B57,$D$28:$N$28)</f>
        <v>23.0777954573072</v>
      </c>
    </row>
    <row r="58" customFormat="false" ht="15" hidden="false" customHeight="false" outlineLevel="0" collapsed="false">
      <c r="B58" s="27" t="n">
        <v>0.1</v>
      </c>
      <c r="C58" s="24" t="n">
        <f aca="false">$C$28+NPV(B58,$D$28:$N$28)</f>
        <v>-15.8372925014825</v>
      </c>
    </row>
    <row r="59" customFormat="false" ht="15" hidden="false" customHeight="false" outlineLevel="0" collapsed="false">
      <c r="B59" s="27" t="n">
        <v>0.12</v>
      </c>
      <c r="C59" s="24" t="n">
        <f aca="false">$C$28+NPV(B59,$D$28:$N$28)</f>
        <v>-47.6089327904792</v>
      </c>
    </row>
    <row r="60" customFormat="false" ht="15" hidden="false" customHeight="false" outlineLevel="0" collapsed="false">
      <c r="B60" s="27" t="n">
        <v>0.14</v>
      </c>
      <c r="C60" s="24" t="n">
        <f aca="false">$C$28+NPV(B60,$D$28:$N$28)</f>
        <v>-73.6372807484136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14"/>
    <col collapsed="false" customWidth="true" hidden="false" outlineLevel="0" max="4" min="4" style="0" width="24"/>
    <col collapsed="false" customWidth="true" hidden="false" outlineLevel="0" max="5" min="5" style="0" width="58"/>
    <col collapsed="false" customWidth="true" hidden="false" outlineLevel="0" max="6" min="6" style="0" width="8"/>
    <col collapsed="false" customWidth="true" hidden="false" outlineLevel="0" max="7" min="7" style="0" width="16"/>
  </cols>
  <sheetData>
    <row r="1" customFormat="false" ht="17.35" hidden="false" customHeight="false" outlineLevel="0" collapsed="false">
      <c r="A1" s="1" t="s">
        <v>377</v>
      </c>
    </row>
    <row r="2" customFormat="false" ht="15" hidden="false" customHeight="false" outlineLevel="0" collapsed="false">
      <c r="A2" s="4" t="s">
        <v>378</v>
      </c>
    </row>
    <row r="4" customFormat="false" ht="23.85" hidden="false" customHeight="false" outlineLevel="0" collapsed="false">
      <c r="A4" s="5" t="s">
        <v>379</v>
      </c>
      <c r="B4" s="6" t="s">
        <v>85</v>
      </c>
      <c r="C4" s="6" t="s">
        <v>380</v>
      </c>
      <c r="D4" s="6" t="s">
        <v>381</v>
      </c>
      <c r="E4" s="6" t="s">
        <v>382</v>
      </c>
      <c r="F4" s="6" t="s">
        <v>86</v>
      </c>
      <c r="G4" s="6" t="s">
        <v>383</v>
      </c>
    </row>
    <row r="5" customFormat="false" ht="23.85" hidden="false" customHeight="false" outlineLevel="0" collapsed="false">
      <c r="A5" s="20" t="s">
        <v>384</v>
      </c>
      <c r="B5" s="2" t="s">
        <v>91</v>
      </c>
      <c r="C5" s="7" t="n">
        <f aca="false">Hub!D32</f>
        <v>155.4</v>
      </c>
      <c r="D5" s="20" t="s">
        <v>385</v>
      </c>
      <c r="E5" s="20" t="s">
        <v>386</v>
      </c>
      <c r="F5" s="3" t="s">
        <v>110</v>
      </c>
      <c r="G5" s="24" t="n">
        <f aca="false">C5*Hub!D33/1000000</f>
        <v>29.3481127058823</v>
      </c>
    </row>
    <row r="6" customFormat="false" ht="23.85" hidden="false" customHeight="false" outlineLevel="0" collapsed="false">
      <c r="A6" s="20" t="s">
        <v>387</v>
      </c>
      <c r="B6" s="2" t="s">
        <v>91</v>
      </c>
      <c r="C6" s="7" t="n">
        <f aca="false">Inputs!$E$56</f>
        <v>250</v>
      </c>
      <c r="D6" s="20" t="s">
        <v>388</v>
      </c>
      <c r="E6" s="20" t="s">
        <v>389</v>
      </c>
      <c r="F6" s="3" t="s">
        <v>110</v>
      </c>
      <c r="G6" s="24" t="n">
        <f aca="false">C6*Hub!D33/1000000</f>
        <v>47.2138235294118</v>
      </c>
    </row>
    <row r="7" customFormat="false" ht="23.85" hidden="false" customHeight="false" outlineLevel="0" collapsed="false">
      <c r="A7" s="20" t="s">
        <v>390</v>
      </c>
      <c r="B7" s="2" t="s">
        <v>91</v>
      </c>
      <c r="C7" s="7" t="n">
        <f aca="false">Inputs!$E$57</f>
        <v>150</v>
      </c>
      <c r="D7" s="20" t="s">
        <v>391</v>
      </c>
      <c r="E7" s="20" t="s">
        <v>392</v>
      </c>
      <c r="F7" s="3" t="s">
        <v>110</v>
      </c>
      <c r="G7" s="24" t="n">
        <f aca="false">C7*8.76*Inputs!$E$60*Inputs!$E$37</f>
        <v>72.5985</v>
      </c>
    </row>
    <row r="8" customFormat="false" ht="23.85" hidden="false" customHeight="false" outlineLevel="0" collapsed="false">
      <c r="A8" s="20" t="s">
        <v>393</v>
      </c>
      <c r="B8" s="2" t="s">
        <v>91</v>
      </c>
      <c r="C8" s="7" t="n">
        <f aca="false">Inputs!$E$58</f>
        <v>100</v>
      </c>
      <c r="D8" s="20" t="s">
        <v>394</v>
      </c>
      <c r="E8" s="20" t="s">
        <v>395</v>
      </c>
      <c r="F8" s="3" t="s">
        <v>110</v>
      </c>
      <c r="G8" s="24" t="n">
        <f aca="false">C8*8.76*Inputs!$E$61*Inputs!$E$42/1000</f>
        <v>55.188</v>
      </c>
    </row>
    <row r="9" customFormat="false" ht="23.85" hidden="false" customHeight="false" outlineLevel="0" collapsed="false">
      <c r="A9" s="20" t="s">
        <v>396</v>
      </c>
      <c r="B9" s="2" t="s">
        <v>91</v>
      </c>
      <c r="C9" s="7" t="n">
        <f aca="false">Inputs!$E$59</f>
        <v>150</v>
      </c>
      <c r="D9" s="20" t="s">
        <v>397</v>
      </c>
      <c r="E9" s="20" t="s">
        <v>398</v>
      </c>
      <c r="F9" s="3" t="s">
        <v>110</v>
      </c>
      <c r="G9" s="24" t="n">
        <f aca="false">C9*8.76*Inputs!$E$61*Inputs!$E$42/1000</f>
        <v>82.782</v>
      </c>
    </row>
    <row r="10" customFormat="false" ht="15" hidden="false" customHeight="false" outlineLevel="0" collapsed="false">
      <c r="A10" s="3" t="s">
        <v>399</v>
      </c>
      <c r="C10" s="43" t="n">
        <f aca="false">SUM(C5:C9)</f>
        <v>805.4</v>
      </c>
      <c r="G10" s="50" t="n">
        <f aca="false">SUM(G5:G9)</f>
        <v>287.130436235294</v>
      </c>
    </row>
    <row r="12" customFormat="false" ht="15" hidden="false" customHeight="false" outlineLevel="0" collapsed="false">
      <c r="A12" s="5" t="s">
        <v>400</v>
      </c>
      <c r="B12" s="6" t="s">
        <v>85</v>
      </c>
      <c r="C12" s="6" t="s">
        <v>67</v>
      </c>
    </row>
    <row r="13" customFormat="false" ht="15" hidden="false" customHeight="false" outlineLevel="0" collapsed="false">
      <c r="A13" s="2" t="s">
        <v>401</v>
      </c>
      <c r="B13" s="2" t="s">
        <v>91</v>
      </c>
      <c r="C13" s="7" t="n">
        <f aca="false">Matrix!D22</f>
        <v>584.266446018375</v>
      </c>
    </row>
    <row r="14" customFormat="false" ht="15" hidden="false" customHeight="false" outlineLevel="0" collapsed="false">
      <c r="A14" s="2" t="s">
        <v>402</v>
      </c>
      <c r="B14" s="2" t="s">
        <v>91</v>
      </c>
      <c r="C14" s="7" t="n">
        <f aca="false">Matrix!D27</f>
        <v>753.745266291936</v>
      </c>
    </row>
    <row r="15" customFormat="false" ht="15" hidden="false" customHeight="false" outlineLevel="0" collapsed="false">
      <c r="A15" s="3" t="s">
        <v>403</v>
      </c>
      <c r="B15" s="2" t="s">
        <v>164</v>
      </c>
      <c r="C15" s="56" t="n">
        <f aca="false">C10/C13</f>
        <v>1.37848066663522</v>
      </c>
    </row>
    <row r="16" customFormat="false" ht="15" hidden="false" customHeight="false" outlineLevel="0" collapsed="false">
      <c r="A16" s="3" t="s">
        <v>404</v>
      </c>
      <c r="B16" s="2" t="s">
        <v>164</v>
      </c>
      <c r="C16" s="56" t="n">
        <f aca="false">C10/C14</f>
        <v>1.06853075703172</v>
      </c>
    </row>
    <row r="17" customFormat="false" ht="15" hidden="false" customHeight="false" outlineLevel="0" collapsed="false">
      <c r="A17" s="3" t="s">
        <v>405</v>
      </c>
      <c r="B17" s="2" t="s">
        <v>96</v>
      </c>
      <c r="C17" s="57" t="n">
        <f aca="false">(Grid!G29+C10-Grid!G20-Hub!G14)/(Grid!G20+Hub!G14)</f>
        <v>0.165239288786848</v>
      </c>
    </row>
    <row r="18" customFormat="false" ht="15" hidden="false" customHeight="false" outlineLevel="0" collapsed="false">
      <c r="A18" s="2" t="s">
        <v>406</v>
      </c>
      <c r="B18" s="2" t="s">
        <v>96</v>
      </c>
      <c r="C18" s="26" t="n">
        <f aca="false">C5/C10</f>
        <v>0.192947603675192</v>
      </c>
    </row>
    <row r="19" customFormat="false" ht="15" hidden="false" customHeight="false" outlineLevel="0" collapsed="false">
      <c r="A19" s="2" t="s">
        <v>407</v>
      </c>
      <c r="B19" s="2" t="s">
        <v>96</v>
      </c>
      <c r="C19" s="26" t="n">
        <f aca="false">Hub!D32/C14</f>
        <v>0.20617044902251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0" min="2" style="0" width="15"/>
  </cols>
  <sheetData>
    <row r="1" customFormat="false" ht="17.35" hidden="false" customHeight="false" outlineLevel="0" collapsed="false">
      <c r="A1" s="1" t="s">
        <v>408</v>
      </c>
    </row>
    <row r="2" customFormat="false" ht="15" hidden="false" customHeight="false" outlineLevel="0" collapsed="false">
      <c r="A2" s="4" t="s">
        <v>409</v>
      </c>
    </row>
    <row r="4" customFormat="false" ht="54" hidden="false" customHeight="true" outlineLevel="0" collapsed="false">
      <c r="A4" s="5" t="s">
        <v>410</v>
      </c>
      <c r="B4" s="6" t="s">
        <v>411</v>
      </c>
      <c r="C4" s="6" t="s">
        <v>412</v>
      </c>
      <c r="D4" s="6" t="s">
        <v>413</v>
      </c>
      <c r="E4" s="6" t="s">
        <v>414</v>
      </c>
      <c r="F4" s="6" t="s">
        <v>415</v>
      </c>
      <c r="G4" s="6" t="s">
        <v>416</v>
      </c>
      <c r="H4" s="6" t="s">
        <v>417</v>
      </c>
      <c r="I4" s="6" t="s">
        <v>418</v>
      </c>
      <c r="J4" s="58" t="s">
        <v>419</v>
      </c>
    </row>
    <row r="5" customFormat="false" ht="15" hidden="false" customHeight="false" outlineLevel="0" collapsed="false">
      <c r="A5" s="3" t="s">
        <v>420</v>
      </c>
      <c r="B5" s="59" t="n">
        <v>0.3</v>
      </c>
      <c r="C5" s="59" t="n">
        <v>0.2</v>
      </c>
      <c r="D5" s="59" t="n">
        <v>0.2</v>
      </c>
      <c r="E5" s="59" t="n">
        <v>0.15</v>
      </c>
      <c r="F5" s="59" t="n">
        <v>0.15</v>
      </c>
      <c r="G5" s="60" t="n">
        <f aca="false">SUM(B5:F5)</f>
        <v>1</v>
      </c>
    </row>
    <row r="6" customFormat="false" ht="15" hidden="false" customHeight="false" outlineLevel="0" collapsed="false">
      <c r="A6" s="2" t="s">
        <v>421</v>
      </c>
      <c r="B6" s="61" t="n">
        <v>4</v>
      </c>
      <c r="C6" s="61" t="n">
        <v>4</v>
      </c>
      <c r="D6" s="61" t="n">
        <v>4</v>
      </c>
      <c r="E6" s="61" t="n">
        <v>5</v>
      </c>
      <c r="F6" s="61" t="n">
        <v>5</v>
      </c>
      <c r="G6" s="62" t="n">
        <f aca="false">SUMPRODUCT($B$5:$F$5,B6:F6)</f>
        <v>4.3</v>
      </c>
      <c r="H6" s="2" t="n">
        <f aca="false">RANK(G6,$G$6:$G$12)</f>
        <v>1</v>
      </c>
      <c r="I6" s="2" t="n">
        <f aca="false">RANK(AVERAGE(B6:F6),$J$6:$J$12)</f>
        <v>1</v>
      </c>
      <c r="J6" s="29" t="n">
        <f aca="false">AVERAGE(B6:F6)</f>
        <v>4.4</v>
      </c>
    </row>
    <row r="7" customFormat="false" ht="15" hidden="false" customHeight="false" outlineLevel="0" collapsed="false">
      <c r="A7" s="2" t="s">
        <v>422</v>
      </c>
      <c r="B7" s="61" t="n">
        <v>5</v>
      </c>
      <c r="C7" s="61" t="n">
        <v>4</v>
      </c>
      <c r="D7" s="61" t="n">
        <v>3</v>
      </c>
      <c r="E7" s="61" t="n">
        <v>4</v>
      </c>
      <c r="F7" s="61" t="n">
        <v>4</v>
      </c>
      <c r="G7" s="62" t="n">
        <f aca="false">SUMPRODUCT($B$5:$F$5,B7:F7)</f>
        <v>4.1</v>
      </c>
      <c r="H7" s="2" t="n">
        <f aca="false">RANK(G7,$G$6:$G$12)</f>
        <v>2</v>
      </c>
      <c r="I7" s="2" t="n">
        <f aca="false">RANK(AVERAGE(B7:F7),$J$6:$J$12)</f>
        <v>2</v>
      </c>
      <c r="J7" s="29" t="n">
        <f aca="false">AVERAGE(B7:F7)</f>
        <v>4</v>
      </c>
    </row>
    <row r="8" customFormat="false" ht="15" hidden="false" customHeight="false" outlineLevel="0" collapsed="false">
      <c r="A8" s="2" t="s">
        <v>423</v>
      </c>
      <c r="B8" s="61" t="n">
        <v>3</v>
      </c>
      <c r="C8" s="61" t="n">
        <v>3</v>
      </c>
      <c r="D8" s="61" t="n">
        <v>3</v>
      </c>
      <c r="E8" s="61" t="n">
        <v>5</v>
      </c>
      <c r="F8" s="61" t="n">
        <v>4</v>
      </c>
      <c r="G8" s="62" t="n">
        <f aca="false">SUMPRODUCT($B$5:$F$5,B8:F8)</f>
        <v>3.45</v>
      </c>
      <c r="H8" s="2" t="n">
        <f aca="false">RANK(G8,$G$6:$G$12)</f>
        <v>3</v>
      </c>
      <c r="I8" s="2" t="n">
        <f aca="false">RANK(AVERAGE(B8:F8),$J$6:$J$12)</f>
        <v>3</v>
      </c>
      <c r="J8" s="29" t="n">
        <f aca="false">AVERAGE(B8:F8)</f>
        <v>3.6</v>
      </c>
    </row>
    <row r="9" customFormat="false" ht="15" hidden="false" customHeight="false" outlineLevel="0" collapsed="false">
      <c r="A9" s="2" t="s">
        <v>424</v>
      </c>
      <c r="B9" s="61" t="n">
        <v>5</v>
      </c>
      <c r="C9" s="61" t="n">
        <v>3</v>
      </c>
      <c r="D9" s="61" t="n">
        <v>3</v>
      </c>
      <c r="E9" s="61" t="n">
        <v>1</v>
      </c>
      <c r="F9" s="61" t="n">
        <v>3</v>
      </c>
      <c r="G9" s="62" t="n">
        <f aca="false">SUMPRODUCT($B$5:$F$5,B9:F9)</f>
        <v>3.3</v>
      </c>
      <c r="H9" s="2" t="n">
        <f aca="false">RANK(G9,$G$6:$G$12)</f>
        <v>4</v>
      </c>
      <c r="I9" s="2" t="n">
        <f aca="false">RANK(AVERAGE(B9:F9),$J$6:$J$12)</f>
        <v>6</v>
      </c>
      <c r="J9" s="29" t="n">
        <f aca="false">AVERAGE(B9:F9)</f>
        <v>3</v>
      </c>
    </row>
    <row r="10" customFormat="false" ht="15" hidden="false" customHeight="false" outlineLevel="0" collapsed="false">
      <c r="A10" s="2" t="s">
        <v>425</v>
      </c>
      <c r="B10" s="61" t="n">
        <v>4</v>
      </c>
      <c r="C10" s="61" t="n">
        <v>3</v>
      </c>
      <c r="D10" s="61" t="n">
        <v>3</v>
      </c>
      <c r="E10" s="61" t="n">
        <v>3</v>
      </c>
      <c r="F10" s="61" t="n">
        <v>3</v>
      </c>
      <c r="G10" s="62" t="n">
        <f aca="false">SUMPRODUCT($B$5:$F$5,B10:F10)</f>
        <v>3.3</v>
      </c>
      <c r="H10" s="2" t="n">
        <f aca="false">RANK(G10,$G$6:$G$12)</f>
        <v>5</v>
      </c>
      <c r="I10" s="2" t="n">
        <f aca="false">RANK(AVERAGE(B10:F10),$J$6:$J$12)</f>
        <v>4</v>
      </c>
      <c r="J10" s="29" t="n">
        <f aca="false">AVERAGE(B10:F10)</f>
        <v>3.2</v>
      </c>
    </row>
    <row r="11" customFormat="false" ht="15" hidden="false" customHeight="false" outlineLevel="0" collapsed="false">
      <c r="A11" s="2" t="s">
        <v>426</v>
      </c>
      <c r="B11" s="61" t="n">
        <v>2</v>
      </c>
      <c r="C11" s="61" t="n">
        <v>5</v>
      </c>
      <c r="D11" s="61" t="n">
        <v>4</v>
      </c>
      <c r="E11" s="61" t="n">
        <v>2</v>
      </c>
      <c r="F11" s="61" t="n">
        <v>3</v>
      </c>
      <c r="G11" s="62" t="n">
        <f aca="false">SUMPRODUCT($B$5:$F$5,B11:F11)</f>
        <v>3.15</v>
      </c>
      <c r="H11" s="2" t="n">
        <f aca="false">RANK(G11,$G$6:$G$12)</f>
        <v>6</v>
      </c>
      <c r="I11" s="2" t="n">
        <f aca="false">RANK(AVERAGE(B11:F11),$J$6:$J$12)</f>
        <v>4</v>
      </c>
      <c r="J11" s="29" t="n">
        <f aca="false">AVERAGE(B11:F11)</f>
        <v>3.2</v>
      </c>
    </row>
    <row r="12" customFormat="false" ht="15" hidden="false" customHeight="false" outlineLevel="0" collapsed="false">
      <c r="A12" s="2" t="s">
        <v>427</v>
      </c>
      <c r="B12" s="61" t="n">
        <v>5</v>
      </c>
      <c r="C12" s="61" t="n">
        <v>2</v>
      </c>
      <c r="D12" s="61" t="n">
        <v>3</v>
      </c>
      <c r="E12" s="61" t="n">
        <v>2</v>
      </c>
      <c r="F12" s="61" t="n">
        <v>1</v>
      </c>
      <c r="G12" s="62" t="n">
        <f aca="false">SUMPRODUCT($B$5:$F$5,B12:F12)</f>
        <v>2.95</v>
      </c>
      <c r="H12" s="2" t="n">
        <f aca="false">RANK(G12,$G$6:$G$12)</f>
        <v>7</v>
      </c>
      <c r="I12" s="2" t="n">
        <f aca="false">RANK(AVERAGE(B12:F12),$J$6:$J$12)</f>
        <v>7</v>
      </c>
      <c r="J12" s="29" t="n">
        <f aca="false">AVERAGE(B12:F12)</f>
        <v>2.6</v>
      </c>
    </row>
    <row r="14" customFormat="false" ht="15" hidden="false" customHeight="false" outlineLevel="0" collapsed="false">
      <c r="A14" s="4" t="s">
        <v>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4"/>
    <col collapsed="false" customWidth="true" hidden="false" outlineLevel="0" max="4" min="4" style="0" width="90"/>
    <col collapsed="false" customWidth="true" hidden="false" outlineLevel="0" max="5" min="5" style="0" width="110"/>
  </cols>
  <sheetData>
    <row r="1" customFormat="false" ht="17.35" hidden="false" customHeight="false" outlineLevel="0" collapsed="false">
      <c r="A1" s="1" t="s">
        <v>429</v>
      </c>
    </row>
    <row r="2" customFormat="false" ht="15" hidden="false" customHeight="false" outlineLevel="0" collapsed="false">
      <c r="A2" s="4" t="s">
        <v>430</v>
      </c>
    </row>
    <row r="4" customFormat="false" ht="15" hidden="false" customHeight="false" outlineLevel="0" collapsed="false">
      <c r="A4" s="5" t="s">
        <v>83</v>
      </c>
      <c r="B4" s="6" t="s">
        <v>431</v>
      </c>
      <c r="C4" s="6" t="s">
        <v>432</v>
      </c>
      <c r="D4" s="6" t="s">
        <v>433</v>
      </c>
      <c r="E4" s="6" t="s">
        <v>434</v>
      </c>
    </row>
    <row r="5" customFormat="false" ht="23.85" hidden="false" customHeight="false" outlineLevel="0" collapsed="false">
      <c r="A5" s="20" t="s">
        <v>435</v>
      </c>
      <c r="B5" s="20" t="s">
        <v>436</v>
      </c>
      <c r="C5" s="20" t="s">
        <v>437</v>
      </c>
      <c r="D5" s="20" t="s">
        <v>438</v>
      </c>
      <c r="E5" s="20" t="s">
        <v>439</v>
      </c>
    </row>
    <row r="6" customFormat="false" ht="23.85" hidden="false" customHeight="false" outlineLevel="0" collapsed="false">
      <c r="A6" s="20" t="s">
        <v>440</v>
      </c>
      <c r="B6" s="20" t="s">
        <v>441</v>
      </c>
      <c r="C6" s="20" t="s">
        <v>442</v>
      </c>
      <c r="D6" s="20" t="s">
        <v>443</v>
      </c>
      <c r="E6" s="20" t="s">
        <v>444</v>
      </c>
    </row>
    <row r="7" customFormat="false" ht="23.85" hidden="false" customHeight="false" outlineLevel="0" collapsed="false">
      <c r="A7" s="20" t="s">
        <v>445</v>
      </c>
      <c r="B7" s="20" t="s">
        <v>446</v>
      </c>
      <c r="C7" s="20" t="s">
        <v>447</v>
      </c>
      <c r="D7" s="20" t="s">
        <v>448</v>
      </c>
      <c r="E7" s="20" t="s">
        <v>449</v>
      </c>
    </row>
    <row r="8" customFormat="false" ht="23.85" hidden="false" customHeight="false" outlineLevel="0" collapsed="false">
      <c r="A8" s="20" t="s">
        <v>450</v>
      </c>
      <c r="B8" s="20" t="s">
        <v>451</v>
      </c>
      <c r="C8" s="20" t="s">
        <v>452</v>
      </c>
      <c r="D8" s="20" t="s">
        <v>453</v>
      </c>
      <c r="E8" s="20" t="s">
        <v>454</v>
      </c>
    </row>
    <row r="9" customFormat="false" ht="23.85" hidden="false" customHeight="false" outlineLevel="0" collapsed="false">
      <c r="A9" s="20" t="s">
        <v>455</v>
      </c>
      <c r="B9" s="20" t="s">
        <v>456</v>
      </c>
      <c r="C9" s="20" t="s">
        <v>457</v>
      </c>
      <c r="D9" s="20" t="s">
        <v>458</v>
      </c>
      <c r="E9" s="20" t="s">
        <v>459</v>
      </c>
    </row>
    <row r="10" customFormat="false" ht="15" hidden="false" customHeight="false" outlineLevel="0" collapsed="false">
      <c r="A10" s="20" t="s">
        <v>460</v>
      </c>
      <c r="B10" s="20" t="s">
        <v>461</v>
      </c>
      <c r="C10" s="20" t="s">
        <v>462</v>
      </c>
      <c r="D10" s="20" t="s">
        <v>463</v>
      </c>
      <c r="E10" s="20" t="s">
        <v>464</v>
      </c>
    </row>
    <row r="11" customFormat="false" ht="23.85" hidden="false" customHeight="false" outlineLevel="0" collapsed="false">
      <c r="A11" s="20" t="s">
        <v>465</v>
      </c>
      <c r="B11" s="20" t="s">
        <v>466</v>
      </c>
      <c r="C11" s="20" t="s">
        <v>467</v>
      </c>
      <c r="D11" s="20" t="s">
        <v>468</v>
      </c>
      <c r="E11" s="20" t="s">
        <v>469</v>
      </c>
    </row>
    <row r="12" customFormat="false" ht="23.85" hidden="false" customHeight="false" outlineLevel="0" collapsed="false">
      <c r="A12" s="20" t="s">
        <v>470</v>
      </c>
      <c r="B12" s="20" t="s">
        <v>471</v>
      </c>
      <c r="C12" s="20" t="s">
        <v>472</v>
      </c>
      <c r="D12" s="20" t="s">
        <v>473</v>
      </c>
      <c r="E12" s="20" t="s">
        <v>474</v>
      </c>
    </row>
    <row r="13" customFormat="false" ht="35.05" hidden="false" customHeight="false" outlineLevel="0" collapsed="false">
      <c r="A13" s="20" t="s">
        <v>475</v>
      </c>
      <c r="B13" s="20" t="s">
        <v>476</v>
      </c>
      <c r="C13" s="20" t="s">
        <v>477</v>
      </c>
      <c r="D13" s="20" t="s">
        <v>478</v>
      </c>
      <c r="E13" s="20" t="s">
        <v>479</v>
      </c>
    </row>
    <row r="14" customFormat="false" ht="15" hidden="false" customHeight="false" outlineLevel="0" collapsed="false">
      <c r="A14" s="20" t="s">
        <v>480</v>
      </c>
      <c r="B14" s="20" t="s">
        <v>481</v>
      </c>
      <c r="C14" s="20" t="s">
        <v>482</v>
      </c>
      <c r="D14" s="20" t="s">
        <v>483</v>
      </c>
      <c r="E14" s="20" t="s">
        <v>484</v>
      </c>
    </row>
    <row r="15" customFormat="false" ht="23.85" hidden="false" customHeight="false" outlineLevel="0" collapsed="false">
      <c r="A15" s="20" t="s">
        <v>485</v>
      </c>
      <c r="B15" s="20" t="s">
        <v>486</v>
      </c>
      <c r="C15" s="20" t="s">
        <v>487</v>
      </c>
      <c r="D15" s="20" t="s">
        <v>488</v>
      </c>
      <c r="E15" s="20" t="s">
        <v>489</v>
      </c>
    </row>
    <row r="16" customFormat="false" ht="23.85" hidden="false" customHeight="false" outlineLevel="0" collapsed="false">
      <c r="A16" s="20" t="s">
        <v>490</v>
      </c>
      <c r="B16" s="20" t="s">
        <v>491</v>
      </c>
      <c r="C16" s="20" t="s">
        <v>492</v>
      </c>
      <c r="D16" s="20" t="s">
        <v>493</v>
      </c>
      <c r="E16" s="20" t="s">
        <v>494</v>
      </c>
    </row>
    <row r="17" customFormat="false" ht="15" hidden="false" customHeight="false" outlineLevel="0" collapsed="false">
      <c r="A17" s="20" t="s">
        <v>495</v>
      </c>
      <c r="B17" s="20" t="s">
        <v>496</v>
      </c>
      <c r="C17" s="20" t="s">
        <v>497</v>
      </c>
      <c r="D17" s="20" t="s">
        <v>498</v>
      </c>
      <c r="E17" s="20" t="s">
        <v>499</v>
      </c>
    </row>
    <row r="18" customFormat="false" ht="23.85" hidden="false" customHeight="false" outlineLevel="0" collapsed="false">
      <c r="A18" s="20" t="s">
        <v>500</v>
      </c>
      <c r="B18" s="20" t="s">
        <v>501</v>
      </c>
      <c r="C18" s="20" t="s">
        <v>502</v>
      </c>
      <c r="D18" s="20" t="s">
        <v>503</v>
      </c>
      <c r="E18" s="20" t="s">
        <v>504</v>
      </c>
    </row>
    <row r="19" customFormat="false" ht="23.85" hidden="false" customHeight="false" outlineLevel="0" collapsed="false">
      <c r="A19" s="20" t="s">
        <v>505</v>
      </c>
      <c r="B19" s="20" t="s">
        <v>506</v>
      </c>
      <c r="C19" s="20" t="s">
        <v>507</v>
      </c>
      <c r="D19" s="20" t="s">
        <v>508</v>
      </c>
      <c r="E19" s="20" t="s">
        <v>509</v>
      </c>
    </row>
    <row r="20" customFormat="false" ht="15" hidden="false" customHeight="false" outlineLevel="0" collapsed="false">
      <c r="A20" s="20" t="s">
        <v>510</v>
      </c>
      <c r="B20" s="20" t="s">
        <v>511</v>
      </c>
      <c r="C20" s="20" t="s">
        <v>512</v>
      </c>
      <c r="D20" s="20" t="s">
        <v>513</v>
      </c>
      <c r="E20" s="20" t="s">
        <v>514</v>
      </c>
    </row>
    <row r="21" customFormat="false" ht="23.85" hidden="false" customHeight="false" outlineLevel="0" collapsed="false">
      <c r="A21" s="20" t="s">
        <v>515</v>
      </c>
      <c r="B21" s="20" t="s">
        <v>516</v>
      </c>
      <c r="C21" s="20" t="s">
        <v>517</v>
      </c>
      <c r="D21" s="20" t="s">
        <v>518</v>
      </c>
      <c r="E21" s="20" t="s">
        <v>519</v>
      </c>
    </row>
    <row r="22" customFormat="false" ht="23.85" hidden="false" customHeight="false" outlineLevel="0" collapsed="false">
      <c r="A22" s="20" t="s">
        <v>520</v>
      </c>
      <c r="B22" s="20" t="s">
        <v>521</v>
      </c>
      <c r="C22" s="20" t="s">
        <v>522</v>
      </c>
      <c r="D22" s="20" t="s">
        <v>523</v>
      </c>
      <c r="E22" s="20" t="s">
        <v>524</v>
      </c>
    </row>
    <row r="23" customFormat="false" ht="23.85" hidden="false" customHeight="false" outlineLevel="0" collapsed="false">
      <c r="A23" s="20" t="s">
        <v>525</v>
      </c>
      <c r="B23" s="20" t="s">
        <v>526</v>
      </c>
      <c r="C23" s="20" t="s">
        <v>527</v>
      </c>
      <c r="D23" s="20" t="s">
        <v>528</v>
      </c>
      <c r="E23" s="20" t="s">
        <v>529</v>
      </c>
    </row>
    <row r="24" customFormat="false" ht="15" hidden="false" customHeight="false" outlineLevel="0" collapsed="false">
      <c r="A24" s="20" t="s">
        <v>530</v>
      </c>
      <c r="B24" s="20" t="s">
        <v>531</v>
      </c>
      <c r="C24" s="20" t="s">
        <v>532</v>
      </c>
      <c r="D24" s="20" t="s">
        <v>533</v>
      </c>
      <c r="E24" s="20" t="s">
        <v>534</v>
      </c>
    </row>
    <row r="25" customFormat="false" ht="15" hidden="false" customHeight="false" outlineLevel="0" collapsed="false">
      <c r="A25" s="20" t="s">
        <v>535</v>
      </c>
      <c r="B25" s="20" t="s">
        <v>536</v>
      </c>
      <c r="C25" s="20" t="s">
        <v>537</v>
      </c>
      <c r="D25" s="20" t="s">
        <v>538</v>
      </c>
      <c r="E25" s="20" t="s">
        <v>539</v>
      </c>
    </row>
    <row r="26" customFormat="false" ht="23.85" hidden="false" customHeight="false" outlineLevel="0" collapsed="false">
      <c r="A26" s="20" t="s">
        <v>540</v>
      </c>
      <c r="B26" s="20" t="s">
        <v>541</v>
      </c>
      <c r="C26" s="20" t="s">
        <v>542</v>
      </c>
      <c r="D26" s="20" t="s">
        <v>543</v>
      </c>
      <c r="E26" s="20" t="s">
        <v>544</v>
      </c>
    </row>
    <row r="27" customFormat="false" ht="23.85" hidden="false" customHeight="false" outlineLevel="0" collapsed="false">
      <c r="A27" s="20" t="s">
        <v>545</v>
      </c>
      <c r="B27" s="20" t="s">
        <v>546</v>
      </c>
      <c r="C27" s="20" t="s">
        <v>547</v>
      </c>
      <c r="D27" s="20" t="s">
        <v>548</v>
      </c>
      <c r="E27" s="20" t="s">
        <v>549</v>
      </c>
    </row>
    <row r="28" customFormat="false" ht="23.85" hidden="false" customHeight="false" outlineLevel="0" collapsed="false">
      <c r="A28" s="20" t="s">
        <v>550</v>
      </c>
      <c r="B28" s="20" t="s">
        <v>551</v>
      </c>
      <c r="C28" s="20" t="s">
        <v>552</v>
      </c>
      <c r="D28" s="20" t="s">
        <v>553</v>
      </c>
      <c r="E28" s="20" t="s">
        <v>554</v>
      </c>
    </row>
    <row r="29" customFormat="false" ht="23.85" hidden="false" customHeight="false" outlineLevel="0" collapsed="false">
      <c r="A29" s="20" t="s">
        <v>555</v>
      </c>
      <c r="B29" s="20" t="s">
        <v>556</v>
      </c>
      <c r="C29" s="20" t="s">
        <v>557</v>
      </c>
      <c r="D29" s="20" t="s">
        <v>558</v>
      </c>
      <c r="E29" s="20" t="s">
        <v>559</v>
      </c>
    </row>
    <row r="30" customFormat="false" ht="23.85" hidden="false" customHeight="false" outlineLevel="0" collapsed="false">
      <c r="A30" s="20" t="s">
        <v>560</v>
      </c>
      <c r="B30" s="20" t="s">
        <v>561</v>
      </c>
      <c r="C30" s="20" t="s">
        <v>557</v>
      </c>
      <c r="D30" s="20" t="s">
        <v>562</v>
      </c>
      <c r="E30" s="20" t="s">
        <v>563</v>
      </c>
    </row>
    <row r="31" customFormat="false" ht="15" hidden="false" customHeight="false" outlineLevel="0" collapsed="false">
      <c r="A31" s="20" t="s">
        <v>564</v>
      </c>
      <c r="B31" s="20" t="s">
        <v>565</v>
      </c>
      <c r="C31" s="20" t="s">
        <v>566</v>
      </c>
      <c r="D31" s="20" t="s">
        <v>567</v>
      </c>
      <c r="E31" s="20" t="s">
        <v>568</v>
      </c>
    </row>
    <row r="32" customFormat="false" ht="23.85" hidden="false" customHeight="false" outlineLevel="0" collapsed="false">
      <c r="A32" s="20" t="s">
        <v>569</v>
      </c>
      <c r="B32" s="20" t="s">
        <v>570</v>
      </c>
      <c r="C32" s="20" t="s">
        <v>571</v>
      </c>
      <c r="D32" s="20" t="s">
        <v>572</v>
      </c>
      <c r="E32" s="20" t="s">
        <v>573</v>
      </c>
    </row>
    <row r="34" customFormat="false" ht="15" hidden="false" customHeight="false" outlineLevel="0" collapsed="false">
      <c r="A34" s="5" t="s">
        <v>83</v>
      </c>
      <c r="B34" s="6" t="s">
        <v>574</v>
      </c>
      <c r="C34" s="6"/>
      <c r="D34" s="6"/>
      <c r="E34" s="6" t="s">
        <v>575</v>
      </c>
    </row>
    <row r="35" customFormat="false" ht="23.85" hidden="false" customHeight="false" outlineLevel="0" collapsed="false">
      <c r="A35" s="2" t="s">
        <v>576</v>
      </c>
      <c r="B35" s="20" t="s">
        <v>577</v>
      </c>
      <c r="E35" s="20" t="s">
        <v>578</v>
      </c>
    </row>
    <row r="36" customFormat="false" ht="15" hidden="false" customHeight="false" outlineLevel="0" collapsed="false">
      <c r="A36" s="2" t="s">
        <v>579</v>
      </c>
      <c r="B36" s="20" t="s">
        <v>580</v>
      </c>
      <c r="E36" s="20" t="s">
        <v>581</v>
      </c>
    </row>
    <row r="37" customFormat="false" ht="15" hidden="false" customHeight="false" outlineLevel="0" collapsed="false">
      <c r="A37" s="2" t="s">
        <v>582</v>
      </c>
      <c r="B37" s="20" t="s">
        <v>583</v>
      </c>
      <c r="E37" s="20" t="s">
        <v>584</v>
      </c>
    </row>
    <row r="38" customFormat="false" ht="23.85" hidden="false" customHeight="false" outlineLevel="0" collapsed="false">
      <c r="A38" s="2" t="s">
        <v>585</v>
      </c>
      <c r="B38" s="20" t="s">
        <v>586</v>
      </c>
      <c r="E38" s="20" t="s">
        <v>587</v>
      </c>
    </row>
    <row r="39" customFormat="false" ht="23.85" hidden="false" customHeight="false" outlineLevel="0" collapsed="false">
      <c r="A39" s="2" t="s">
        <v>588</v>
      </c>
      <c r="B39" s="20" t="s">
        <v>589</v>
      </c>
      <c r="E39" s="20" t="s">
        <v>590</v>
      </c>
    </row>
    <row r="40" customFormat="false" ht="23.85" hidden="false" customHeight="false" outlineLevel="0" collapsed="false">
      <c r="A40" s="2" t="s">
        <v>591</v>
      </c>
      <c r="B40" s="20" t="s">
        <v>592</v>
      </c>
      <c r="E40" s="20" t="s">
        <v>593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 collapsed="false" customWidth="true" hidden="false" outlineLevel="0" max="2" min="2" style="0" width="12"/>
  </cols>
  <sheetData>
    <row r="1" customFormat="false" ht="17.35" hidden="false" customHeight="false" outlineLevel="0" collapsed="false">
      <c r="A1" s="1" t="s">
        <v>594</v>
      </c>
    </row>
    <row r="2" customFormat="false" ht="15" hidden="false" customHeight="false" outlineLevel="0" collapsed="false">
      <c r="A2" s="4" t="s">
        <v>595</v>
      </c>
    </row>
    <row r="4" customFormat="false" ht="15" hidden="false" customHeight="false" outlineLevel="0" collapsed="false">
      <c r="A4" s="5" t="s">
        <v>596</v>
      </c>
      <c r="B4" s="6" t="s">
        <v>597</v>
      </c>
    </row>
    <row r="5" customFormat="false" ht="15" hidden="false" customHeight="false" outlineLevel="0" collapsed="false">
      <c r="A5" s="2" t="s">
        <v>598</v>
      </c>
      <c r="B5" s="63" t="b">
        <f aca="false">ABS(Grid!C30-Inputs!$E$7)&lt;0.000001</f>
        <v>1</v>
      </c>
    </row>
    <row r="6" customFormat="false" ht="15" hidden="false" customHeight="false" outlineLevel="0" collapsed="false">
      <c r="A6" s="2" t="s">
        <v>599</v>
      </c>
      <c r="B6" s="63" t="b">
        <f aca="false">ABS(Hub!G12-Inputs!$E$27*Inputs!$E$26)&lt;0.000001</f>
        <v>1</v>
      </c>
    </row>
    <row r="7" customFormat="false" ht="15" hidden="false" customHeight="false" outlineLevel="0" collapsed="false">
      <c r="A7" s="2" t="s">
        <v>600</v>
      </c>
      <c r="B7" s="63" t="b">
        <f aca="false">Hub!G7=0</f>
        <v>1</v>
      </c>
    </row>
    <row r="8" customFormat="false" ht="15" hidden="false" customHeight="false" outlineLevel="0" collapsed="false">
      <c r="A8" s="2" t="s">
        <v>601</v>
      </c>
      <c r="B8" s="63" t="b">
        <f aca="false">ABS(UnitEconomics!C43)&lt;0.0001</f>
        <v>1</v>
      </c>
    </row>
    <row r="9" customFormat="false" ht="15" hidden="false" customHeight="false" outlineLevel="0" collapsed="false">
      <c r="A9" s="2" t="s">
        <v>602</v>
      </c>
      <c r="B9" s="63" t="b">
        <f aca="false">ABS(Matrix!C17-Grid!G30)&lt;0.000001</f>
        <v>1</v>
      </c>
    </row>
    <row r="10" customFormat="false" ht="15" hidden="false" customHeight="false" outlineLevel="0" collapsed="false">
      <c r="A10" s="2" t="s">
        <v>603</v>
      </c>
      <c r="B10" s="63" t="b">
        <f aca="false">Grid!G15&lt;=Grid!G30</f>
        <v>1</v>
      </c>
    </row>
    <row r="11" customFormat="false" ht="15" hidden="false" customHeight="false" outlineLevel="0" collapsed="false">
      <c r="A11" s="2" t="s">
        <v>604</v>
      </c>
      <c r="B11" s="63" t="b">
        <f aca="false">Grid!G30&lt;=Grid!G45</f>
        <v>1</v>
      </c>
    </row>
    <row r="12" customFormat="false" ht="15" hidden="false" customHeight="false" outlineLevel="0" collapsed="false">
      <c r="A12" s="2" t="s">
        <v>605</v>
      </c>
      <c r="B12" s="63" t="b">
        <f aca="false">ABS(UnitEconomics!D8-UnitEconomics!D5-UnitEconomics!D6-UnitEconomics!D7)&lt;0.000001</f>
        <v>1</v>
      </c>
    </row>
    <row r="13" customFormat="false" ht="15" hidden="false" customHeight="false" outlineLevel="0" collapsed="false">
      <c r="A13" s="2" t="s">
        <v>606</v>
      </c>
      <c r="B13" s="63" t="b">
        <f aca="false">ABS(Screen!G5-1)&lt;0.000001</f>
        <v>1</v>
      </c>
    </row>
    <row r="14" customFormat="false" ht="15" hidden="false" customHeight="false" outlineLevel="0" collapsed="false">
      <c r="A14" s="2" t="s">
        <v>607</v>
      </c>
      <c r="B14" s="63" t="b">
        <f aca="false">ABS(Levers!C10-SUM(Levers!C5:C9))&lt;0.000001</f>
        <v>1</v>
      </c>
    </row>
    <row r="16" customFormat="false" ht="15" hidden="false" customHeight="false" outlineLevel="0" collapsed="false">
      <c r="A16" s="3" t="s">
        <v>608</v>
      </c>
      <c r="B16" s="64" t="b">
        <f aca="false">AND(B5:B14)</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2026-10-19T08:21:04Z</dcterms:created>
  <dc:creator>openpyxl</dc:creator>
  <dc:description/>
  <dc:language>en-US</dc:language>
  <cp:lastModifiedBy/>
  <dcterms:modified xsi:type="dcterms:W3CDTF">2026-10-19T08:21:04Z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